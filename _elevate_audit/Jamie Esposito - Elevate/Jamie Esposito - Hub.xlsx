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amp; Marketing Analysis" sheetId="1" r:id="rId5"/>
    <sheet state="visible" name="Marketing Goal Setting" sheetId="2" r:id="rId6"/>
    <sheet state="visible" name="Social Media Analysis" sheetId="3" r:id="rId7"/>
    <sheet state="visible" name="Exemplar Business Turnover"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This is how many people know about your profile. You can measure this through number of followers and how many platforms are you creating content on.</t>
      </text>
    </comment>
    <comment authorId="0" ref="A27">
      <text>
        <t xml:space="preserve">This is related to how many people 'engage' with your content in relation to your following. Measure this through likes, comments, saves, engagement with polls or Q&amp;A's</t>
      </text>
    </comment>
    <comment authorId="0" ref="A28">
      <text>
        <t xml:space="preserve">Measure this through free 'subscriptions'. This can be email marketing, opt in collections or free seminars etc.</t>
      </text>
    </comment>
    <comment authorId="0" ref="A29">
      <text>
        <t xml:space="preserve">Your ability to take a subscriber and convert them into a paying customer. E.g Your 8 week challenge or Meal &amp; Workout Programme</t>
      </text>
    </comment>
    <comment authorId="0" ref="A30">
      <text>
        <t xml:space="preserve">How much you overdeliver on your product/service.
E.g. Running small challenges in communities / engage in zoom calls / shout outs / exclusive member vidoes</t>
      </text>
    </comment>
    <comment authorId="0" ref="A31">
      <text>
        <t xml:space="preserve">Upselling and Cross Selling customers. e.g. Moving people from your product up to 1-1 coaching or Extending revenue from customers using down selling from 1-1 to app plans.</t>
      </text>
    </comment>
    <comment authorId="0" ref="A32">
      <text>
        <t xml:space="preserve">Your or members actively share experiences from you. E.g Reviews/transformations/reviews
</t>
      </text>
    </comment>
    <comment authorId="0" ref="A33">
      <text>
        <t xml:space="preserve">Members actively go out of their way to promote your brand as an ambassador.</t>
      </text>
    </comment>
  </commentList>
</comments>
</file>

<file path=xl/sharedStrings.xml><?xml version="1.0" encoding="utf-8"?>
<sst xmlns="http://schemas.openxmlformats.org/spreadsheetml/2006/main" count="248" uniqueCount="165">
  <si>
    <t>Name</t>
  </si>
  <si>
    <t>Elevate Education Portal</t>
  </si>
  <si>
    <t>Meeting Notes</t>
  </si>
  <si>
    <t>Website Editor</t>
  </si>
  <si>
    <t>Trainer Console (Platform Back End)</t>
  </si>
  <si>
    <t>Creator Level</t>
  </si>
  <si>
    <t>Sales Review</t>
  </si>
  <si>
    <t>Gross Revenue</t>
  </si>
  <si>
    <t>Number of Sign Ups</t>
  </si>
  <si>
    <t>Churn Rate (Industry Average: 20%)</t>
  </si>
  <si>
    <t>Current Number Of Subscribers</t>
  </si>
  <si>
    <t>Average Revenue Per User</t>
  </si>
  <si>
    <t>Lifetime Value</t>
  </si>
  <si>
    <t>Focus For Following Month</t>
  </si>
  <si>
    <t>Notes</t>
  </si>
  <si>
    <t>January</t>
  </si>
  <si>
    <t>February</t>
  </si>
  <si>
    <t>March</t>
  </si>
  <si>
    <t>April</t>
  </si>
  <si>
    <t>May</t>
  </si>
  <si>
    <t>June</t>
  </si>
  <si>
    <t>July</t>
  </si>
  <si>
    <t>August</t>
  </si>
  <si>
    <t>September</t>
  </si>
  <si>
    <t>October</t>
  </si>
  <si>
    <t>November</t>
  </si>
  <si>
    <t>December</t>
  </si>
  <si>
    <t>Customer Value Journey Self-Assessment</t>
  </si>
  <si>
    <t>Awareness</t>
  </si>
  <si>
    <t>Engagement</t>
  </si>
  <si>
    <t>Subscribe</t>
  </si>
  <si>
    <t>Conversion</t>
  </si>
  <si>
    <t>Excite</t>
  </si>
  <si>
    <t>Ascend</t>
  </si>
  <si>
    <t>Advocate</t>
  </si>
  <si>
    <t>Promote</t>
  </si>
  <si>
    <t>Yearly Marketing &amp; Product Planner</t>
  </si>
  <si>
    <t>Review Since Last Meeting</t>
  </si>
  <si>
    <t>Goal Completed?</t>
  </si>
  <si>
    <t>Offers</t>
  </si>
  <si>
    <t>Product</t>
  </si>
  <si>
    <t>Goal 1</t>
  </si>
  <si>
    <t>Goal 2</t>
  </si>
  <si>
    <t>Goal 3</t>
  </si>
  <si>
    <t>New Goals</t>
  </si>
  <si>
    <t>Growth Wheel Area Identified for Improvement</t>
  </si>
  <si>
    <t>Agreed Goals and Tasks</t>
  </si>
  <si>
    <t>Offer Planning</t>
  </si>
  <si>
    <t>Next Offer Start</t>
  </si>
  <si>
    <t>Next Offer End</t>
  </si>
  <si>
    <t>Type of Offer?</t>
  </si>
  <si>
    <t>Actions Needed for Offer</t>
  </si>
  <si>
    <t>Example Offer Tracker</t>
  </si>
  <si>
    <t>In Feed Content</t>
  </si>
  <si>
    <t>Stories - Content</t>
  </si>
  <si>
    <t>Stories - Marketing</t>
  </si>
  <si>
    <t>Email Marketing</t>
  </si>
  <si>
    <t>Stories - Advertisement</t>
  </si>
  <si>
    <t>Day 1</t>
  </si>
  <si>
    <t xml:space="preserve">Education - Mic'd Up Video
</t>
  </si>
  <si>
    <t xml:space="preserve">Testimonial/Client Transformation </t>
  </si>
  <si>
    <t>Announce on your story that you have something big happening this week.</t>
  </si>
  <si>
    <t>Day 2</t>
  </si>
  <si>
    <t>Personal Series
- Follow along mini Series</t>
  </si>
  <si>
    <t>Q&amp;A</t>
  </si>
  <si>
    <t>Announcment of what's coming with details</t>
  </si>
  <si>
    <t>Day 3</t>
  </si>
  <si>
    <t>Education + Testimonial (With Story of Client's Painpoints)</t>
  </si>
  <si>
    <t>Poll - What are your struggles with fitness &amp; Nutrition</t>
  </si>
  <si>
    <t>Share screenshots from the app:
- Workout days
- Recipes</t>
  </si>
  <si>
    <t>Day 4</t>
  </si>
  <si>
    <t>Education - Follow Along Video (Using App Screenshots)
- Workouts
- Making a recipe / What I eat in a day</t>
  </si>
  <si>
    <t>Day off Stories</t>
  </si>
  <si>
    <t>Countdown to Sale + Q&amp;A Around Offer</t>
  </si>
  <si>
    <t>Day 5</t>
  </si>
  <si>
    <t>Motivation/Humour Content - W) CTA to bio</t>
  </si>
  <si>
    <t>Offer Goes Live - Talk about the App
Share the details of the offer/product/service
Screenshots of the app
Client Testimonials/Screen shots of people using the app</t>
  </si>
  <si>
    <t>Day 6</t>
  </si>
  <si>
    <t>Day 7</t>
  </si>
  <si>
    <t>Socia</t>
  </si>
  <si>
    <t>Instagram Audit - Last 30 Days</t>
  </si>
  <si>
    <t>Instagram Self Asessment and Goal Setting</t>
  </si>
  <si>
    <t>Review Number</t>
  </si>
  <si>
    <t>Date of Review</t>
  </si>
  <si>
    <t>No. Of Followers</t>
  </si>
  <si>
    <t>Change in Followers</t>
  </si>
  <si>
    <t>Number of Pieces of Content You've Shared</t>
  </si>
  <si>
    <t>Accounts Reached</t>
  </si>
  <si>
    <t>% Audience Demographic (Followers vs Non Followers)</t>
  </si>
  <si>
    <t>What type of content reached your followers the most?</t>
  </si>
  <si>
    <t>What type of content reached your Non-followers the most?</t>
  </si>
  <si>
    <t>% Audience Engagement Demographic (Male vs Female)</t>
  </si>
  <si>
    <t>Most Active Times of Your Audience (Time of Day)</t>
  </si>
  <si>
    <t>Statement</t>
  </si>
  <si>
    <t>Self Assessment</t>
  </si>
  <si>
    <t>Points To Consider</t>
  </si>
  <si>
    <t>Action Items</t>
  </si>
  <si>
    <t>Review 1</t>
  </si>
  <si>
    <t>700 vs 164</t>
  </si>
  <si>
    <t>Reels</t>
  </si>
  <si>
    <t>58.5 Women vs 41.5 Men</t>
  </si>
  <si>
    <t xml:space="preserve">12-3pm </t>
  </si>
  <si>
    <t>My Bio is optimised to my niche.</t>
  </si>
  <si>
    <t>Your bio should clearly state exactly who you're looking to help, as this is one of the first things they see when they click on your account.</t>
  </si>
  <si>
    <t>Review 2</t>
  </si>
  <si>
    <t>I post consistently the same number of days per week.</t>
  </si>
  <si>
    <t>All Of The Time</t>
  </si>
  <si>
    <t>Social media platforms will reward you for being consistent. Even if one week you decide to do more, this will flag as being inconsistent when you drop back down again. Pick a number of days per week to post and stick to it.</t>
  </si>
  <si>
    <t>Review 3</t>
  </si>
  <si>
    <t>I intentially create posts with an outcome in mind. E.g. Growth or Nurture.</t>
  </si>
  <si>
    <t>Your content should be mixed at about:
70% Nurture Content
30% Growth Content</t>
  </si>
  <si>
    <t>Review 4</t>
  </si>
  <si>
    <t>I frequently mix up my type of content to experiment with reach and engagement.</t>
  </si>
  <si>
    <t>Sometimes</t>
  </si>
  <si>
    <t>Intentionally mixing your type of content up with similar types information within allows you measure which helps you reach different demographics. E.g. A follow me workout where the workout plan is at the end of a reel vs the last slide of a carousel</t>
  </si>
  <si>
    <t>Review 5</t>
  </si>
  <si>
    <t>I use analysis of my numbers to shape what engages my followers or non followers more.</t>
  </si>
  <si>
    <t xml:space="preserve"> If you notice that a type of content hits your followers more than non-followers, use more of this style for  followers and visa versa.</t>
  </si>
  <si>
    <t>Review 6</t>
  </si>
  <si>
    <t>My nurture content identifies a REAL problem of my niche and gives tangible advice to help solve their problems and take them closer to their goals.</t>
  </si>
  <si>
    <t>Nurture content should give your audience something they can go away and use/think different about. It should identify real problems of your niche. E.g. If your niche is new mums, then content about bicep curl technique isn't hugely relevent.</t>
  </si>
  <si>
    <t>Review 7</t>
  </si>
  <si>
    <t>I think about the hooks I use and the length of video within my growth content.</t>
  </si>
  <si>
    <t>The first 2 seconds is the most important part of keeping your audience. If it does not drag them in, they move on.</t>
  </si>
  <si>
    <t>Review 8</t>
  </si>
  <si>
    <t>I frequently use my stories in order to gain engagement with my followers E.g. Polls/Q&amp;A's</t>
  </si>
  <si>
    <t>Do not get sucked into just focusing on likes/views. They have their place, but you should be adding a variety of CTA's for your audience to engage with.</t>
  </si>
  <si>
    <t>Review 9</t>
  </si>
  <si>
    <t>I use CTA's to change the type of engagment that I expect on the post. E.g. Likes, Comments, Shares, Saves</t>
  </si>
  <si>
    <t>Social Media Planner
(Also Consider Adding Tiktok/Facebook/Email Marketing Value Flows)</t>
  </si>
  <si>
    <t>Example Social Media Planner
(Also Consider Adding Tiktok/Facebook/Email Marketing Value Flows)</t>
  </si>
  <si>
    <t>Intent</t>
  </si>
  <si>
    <t>Type of Content</t>
  </si>
  <si>
    <t>Nurture</t>
  </si>
  <si>
    <t>Reel</t>
  </si>
  <si>
    <t>Educational - Hormones
Talking to camera
ASMR
Camera Cutting - Use Sarah Catterson for inspo</t>
  </si>
  <si>
    <t xml:space="preserve">Q&amp;A
</t>
  </si>
  <si>
    <t xml:space="preserve">Education - Mic'd Up Education Video
</t>
  </si>
  <si>
    <t>Growth</t>
  </si>
  <si>
    <t>Short Video with ask for Comment/Save/Share
Use Gerhard for inspiration.</t>
  </si>
  <si>
    <t>Carousel</t>
  </si>
  <si>
    <t>Training Day 
Save this for later
Use 7-10 slides</t>
  </si>
  <si>
    <t xml:space="preserve">Polls
Shoes/Outfits/Restaurants
E.g. Choose my gym outfit.- Then Get ready with me the next day with the winning gym outfit. </t>
  </si>
  <si>
    <t>Picture</t>
  </si>
  <si>
    <t xml:space="preserve">Picture / Reel
Physique Based
Get yo thot on
GRWM.
</t>
  </si>
  <si>
    <t>Quiz</t>
  </si>
  <si>
    <t>Nutrition
Recipe of the week
ASMR
Save this for later</t>
  </si>
  <si>
    <t>Day off stories</t>
  </si>
  <si>
    <t>Personal Content - Follow Along With My Day</t>
  </si>
  <si>
    <t>Low Ticket Option
(Industry Average Churn: 20%)</t>
  </si>
  <si>
    <t xml:space="preserve">Monthly Price </t>
  </si>
  <si>
    <t xml:space="preserve">New Customers PER MONTH </t>
  </si>
  <si>
    <t>Month 1 Rev</t>
  </si>
  <si>
    <t>Month 2 Rev</t>
  </si>
  <si>
    <t>Month 3 Rev</t>
  </si>
  <si>
    <t>Month 4 Rev</t>
  </si>
  <si>
    <t>Month 5 Rev</t>
  </si>
  <si>
    <t>Month 6 Rev</t>
  </si>
  <si>
    <t>Cohort 1</t>
  </si>
  <si>
    <t>Cohort 2</t>
  </si>
  <si>
    <t>Cohort 3</t>
  </si>
  <si>
    <t>Cohort 4</t>
  </si>
  <si>
    <t>Cohort 5</t>
  </si>
  <si>
    <t>Cohort 6</t>
  </si>
  <si>
    <t>Mid-High Ticket 
(Industry Average Churn: 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</si>
</sst>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809]#,##0.00"/>
  </numFmts>
  <fonts count="12">
    <font>
      <sz val="10.0"/>
      <color rgb="FF000000"/>
      <name val="Arial"/>
      <scheme val="minor"/>
    </font>
    <font>
      <sz val="11.0"/>
      <color theme="1"/>
      <name val="Arial"/>
    </font>
    <font>
      <b/>
      <sz val="11.0"/>
      <color theme="1"/>
      <name val="Arial"/>
    </font>
    <font/>
    <font>
      <color theme="1"/>
      <name val="Arial"/>
      <scheme val="minor"/>
    </font>
    <font>
      <sz val="12.0"/>
      <color theme="1"/>
      <name val="Arial"/>
      <scheme val="minor"/>
    </font>
    <font>
      <b/>
      <sz val="12.0"/>
      <color theme="1"/>
      <name val="Arial"/>
      <scheme val="minor"/>
    </font>
    <font>
      <b/>
      <sz val="12.0"/>
      <color theme="1"/>
      <name val="Arial"/>
    </font>
    <font>
      <sz val="12.0"/>
      <color theme="1"/>
      <name val="Arial"/>
    </font>
    <font>
      <color theme="1"/>
      <name val="Arial"/>
    </font>
    <font>
      <sz val="11.0"/>
      <color theme="1"/>
      <name val="Arial"/>
      <scheme val="minor"/>
    </font>
    <font>
      <b/>
      <color theme="1"/>
      <name val="Arial"/>
    </font>
  </fonts>
  <fills count="11">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FFFFFF"/>
        <bgColor rgb="FFFFFFFF"/>
      </patternFill>
    </fill>
    <fill>
      <patternFill patternType="solid">
        <fgColor rgb="FF46BDC6"/>
        <bgColor rgb="FF46BDC6"/>
      </patternFill>
    </fill>
    <fill>
      <patternFill patternType="solid">
        <fgColor rgb="FFFF6D01"/>
        <bgColor rgb="FFFF6D01"/>
      </patternFill>
    </fill>
    <fill>
      <patternFill patternType="solid">
        <fgColor rgb="FFFBBC04"/>
        <bgColor rgb="FFFBBC04"/>
      </patternFill>
    </fill>
    <fill>
      <patternFill patternType="solid">
        <fgColor rgb="FFEA4335"/>
        <bgColor rgb="FFEA4335"/>
      </patternFill>
    </fill>
    <fill>
      <patternFill patternType="solid">
        <fgColor rgb="FF4285F4"/>
        <bgColor rgb="FF4285F4"/>
      </patternFill>
    </fill>
    <fill>
      <patternFill patternType="solid">
        <fgColor rgb="FFFF00FF"/>
        <bgColor rgb="FFFF00FF"/>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D9D9D9"/>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style="medium">
        <color rgb="FF000000"/>
      </right>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2" numFmtId="0" xfId="0" applyAlignment="1" applyBorder="1" applyFill="1" applyFont="1">
      <alignment horizontal="center" shrinkToFit="0" vertical="center" wrapText="1"/>
    </xf>
    <xf borderId="2" fillId="4" fontId="1" numFmtId="0" xfId="0" applyAlignment="1" applyBorder="1" applyFill="1" applyFont="1">
      <alignment horizontal="center" vertical="center"/>
    </xf>
    <xf borderId="3" fillId="0" fontId="3" numFmtId="0" xfId="0" applyBorder="1" applyFont="1"/>
    <xf borderId="4" fillId="0" fontId="3" numFmtId="0" xfId="0" applyBorder="1" applyFont="1"/>
    <xf borderId="1" fillId="3" fontId="2" numFmtId="0" xfId="0" applyAlignment="1" applyBorder="1" applyFont="1">
      <alignment horizontal="center" readingOrder="0" shrinkToFit="0" vertical="center" wrapText="1"/>
    </xf>
    <xf borderId="0" fillId="2" fontId="4" numFmtId="0" xfId="0" applyFont="1"/>
    <xf borderId="5" fillId="3" fontId="2" numFmtId="0" xfId="0" applyAlignment="1" applyBorder="1" applyFont="1">
      <alignment horizontal="center" readingOrder="0" shrinkToFit="0" vertical="center" wrapText="1"/>
    </xf>
    <xf borderId="5" fillId="2" fontId="2" numFmtId="0" xfId="0" applyAlignment="1" applyBorder="1" applyFont="1">
      <alignment horizontal="center" shrinkToFit="0" vertical="center" wrapText="1"/>
    </xf>
    <xf borderId="6" fillId="3" fontId="2" numFmtId="0" xfId="0" applyAlignment="1" applyBorder="1" applyFont="1">
      <alignment horizontal="center" shrinkToFit="0" vertical="center" wrapText="1"/>
    </xf>
    <xf borderId="7" fillId="0" fontId="3" numFmtId="0" xfId="0" applyBorder="1" applyFont="1"/>
    <xf borderId="8" fillId="3" fontId="1" numFmtId="0" xfId="0" applyAlignment="1" applyBorder="1" applyFont="1">
      <alignment horizontal="center" vertical="center"/>
    </xf>
    <xf borderId="5" fillId="3" fontId="2" numFmtId="0" xfId="0" applyAlignment="1" applyBorder="1" applyFont="1">
      <alignment horizontal="center" shrinkToFit="0" vertical="center" wrapText="1"/>
    </xf>
    <xf borderId="0" fillId="2" fontId="1" numFmtId="0" xfId="0" applyFont="1"/>
    <xf borderId="8" fillId="3" fontId="2" numFmtId="0" xfId="0" applyAlignment="1" applyBorder="1" applyFont="1">
      <alignment horizontal="center" shrinkToFit="0" vertical="center" wrapText="1"/>
    </xf>
    <xf borderId="5" fillId="4" fontId="1" numFmtId="0" xfId="0" applyAlignment="1" applyBorder="1" applyFont="1">
      <alignment horizontal="center" readingOrder="0" vertical="center"/>
    </xf>
    <xf borderId="5" fillId="4" fontId="1" numFmtId="9" xfId="0" applyAlignment="1" applyBorder="1" applyFont="1" applyNumberFormat="1">
      <alignment horizontal="center" readingOrder="0" vertical="center"/>
    </xf>
    <xf borderId="5" fillId="2" fontId="1" numFmtId="0" xfId="0" applyAlignment="1" applyBorder="1" applyFont="1">
      <alignment horizontal="center" readingOrder="0" vertical="center"/>
    </xf>
    <xf borderId="5" fillId="4" fontId="1" numFmtId="0" xfId="0" applyAlignment="1" applyBorder="1" applyFont="1">
      <alignment horizontal="center" vertical="center"/>
    </xf>
    <xf borderId="5" fillId="2" fontId="1" numFmtId="0" xfId="0" applyAlignment="1" applyBorder="1" applyFont="1">
      <alignment horizontal="center" vertical="center"/>
    </xf>
    <xf borderId="0" fillId="3" fontId="2"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2" fontId="5" numFmtId="0" xfId="0" applyAlignment="1" applyFont="1">
      <alignment horizontal="center" vertical="center"/>
    </xf>
    <xf borderId="0" fillId="2" fontId="6" numFmtId="0" xfId="0" applyAlignment="1" applyFont="1">
      <alignment horizontal="center" readingOrder="0"/>
    </xf>
    <xf borderId="0" fillId="2" fontId="5" numFmtId="0" xfId="0" applyFont="1"/>
    <xf borderId="2" fillId="3" fontId="7" numFmtId="0" xfId="0" applyAlignment="1" applyBorder="1" applyFont="1">
      <alignment horizontal="center" vertical="center"/>
    </xf>
    <xf borderId="4" fillId="2" fontId="7" numFmtId="0" xfId="0" applyAlignment="1" applyBorder="1" applyFont="1">
      <alignment horizontal="center" vertical="center"/>
    </xf>
    <xf borderId="9" fillId="3" fontId="6" numFmtId="0" xfId="0" applyAlignment="1" applyBorder="1" applyFont="1">
      <alignment horizontal="center" readingOrder="0" vertical="center"/>
    </xf>
    <xf borderId="10" fillId="0" fontId="3" numFmtId="0" xfId="0" applyBorder="1" applyFont="1"/>
    <xf borderId="11" fillId="0" fontId="3" numFmtId="0" xfId="0" applyBorder="1" applyFont="1"/>
    <xf borderId="12" fillId="3" fontId="6" numFmtId="0" xfId="0" applyAlignment="1" applyBorder="1" applyFont="1">
      <alignment horizontal="center" readingOrder="0" shrinkToFit="0" vertical="center" wrapText="1"/>
    </xf>
    <xf borderId="8" fillId="3" fontId="8" numFmtId="0" xfId="0" applyAlignment="1" applyBorder="1" applyFont="1">
      <alignment vertical="center"/>
    </xf>
    <xf borderId="5" fillId="3" fontId="7" numFmtId="0" xfId="0" applyAlignment="1" applyBorder="1" applyFont="1">
      <alignment horizontal="center" readingOrder="0" vertical="center"/>
    </xf>
    <xf borderId="7" fillId="3" fontId="7" numFmtId="0" xfId="0" applyAlignment="1" applyBorder="1" applyFont="1">
      <alignment horizontal="center" readingOrder="0" vertical="center"/>
    </xf>
    <xf borderId="5" fillId="3" fontId="8" numFmtId="0" xfId="0" applyAlignment="1" applyBorder="1" applyFont="1">
      <alignment vertical="center"/>
    </xf>
    <xf borderId="5" fillId="0" fontId="3" numFmtId="0" xfId="0" applyBorder="1" applyFont="1"/>
    <xf borderId="1" fillId="3" fontId="6" numFmtId="0" xfId="0" applyAlignment="1" applyBorder="1" applyFont="1">
      <alignment horizontal="center" readingOrder="0" vertical="center"/>
    </xf>
    <xf borderId="2" fillId="4" fontId="5" numFmtId="0" xfId="0" applyAlignment="1" applyBorder="1" applyFont="1">
      <alignment horizontal="center" vertical="center"/>
    </xf>
    <xf borderId="4" fillId="4" fontId="5" numFmtId="0" xfId="0" applyAlignment="1" applyBorder="1" applyFont="1">
      <alignment horizontal="center" vertical="center"/>
    </xf>
    <xf borderId="1" fillId="2" fontId="5" numFmtId="0" xfId="0" applyAlignment="1" applyBorder="1" applyFont="1">
      <alignment horizontal="center" vertical="center"/>
    </xf>
    <xf borderId="8" fillId="3" fontId="7" numFmtId="0" xfId="0" applyAlignment="1" applyBorder="1" applyFont="1">
      <alignment horizontal="center" readingOrder="0" shrinkToFit="0" vertical="center" wrapText="1"/>
    </xf>
    <xf borderId="5" fillId="4" fontId="8" numFmtId="0" xfId="0" applyAlignment="1" applyBorder="1" applyFont="1">
      <alignment vertical="center"/>
    </xf>
    <xf borderId="7" fillId="4" fontId="8" numFmtId="0" xfId="0" applyAlignment="1" applyBorder="1" applyFont="1">
      <alignment vertical="center"/>
    </xf>
    <xf borderId="5" fillId="4" fontId="8" numFmtId="0" xfId="0" applyAlignment="1" applyBorder="1" applyFont="1">
      <alignment readingOrder="0" vertical="center"/>
    </xf>
    <xf borderId="2" fillId="3" fontId="6" numFmtId="0" xfId="0" applyAlignment="1" applyBorder="1" applyFont="1">
      <alignment horizontal="center" readingOrder="0" vertical="center"/>
    </xf>
    <xf borderId="1" fillId="3" fontId="6" numFmtId="0" xfId="0" applyAlignment="1" applyBorder="1" applyFont="1">
      <alignment horizontal="center" readingOrder="0" shrinkToFit="0" vertical="center" wrapText="1"/>
    </xf>
    <xf borderId="1" fillId="4" fontId="5" numFmtId="0" xfId="0" applyAlignment="1" applyBorder="1" applyFont="1">
      <alignment horizontal="center" vertical="center"/>
    </xf>
    <xf borderId="0" fillId="2" fontId="7" numFmtId="0" xfId="0" applyAlignment="1" applyFont="1">
      <alignment horizontal="center" readingOrder="0" shrinkToFit="0" vertical="center" wrapText="1"/>
    </xf>
    <xf borderId="0" fillId="3" fontId="6" numFmtId="0" xfId="0" applyAlignment="1" applyFont="1">
      <alignment horizontal="center" readingOrder="0" vertical="center"/>
    </xf>
    <xf borderId="12" fillId="3" fontId="8" numFmtId="0" xfId="0" applyAlignment="1" applyBorder="1" applyFont="1">
      <alignment horizontal="center" vertical="center"/>
    </xf>
    <xf borderId="1" fillId="3" fontId="7" numFmtId="0" xfId="0" applyAlignment="1" applyBorder="1" applyFont="1">
      <alignment horizontal="center" vertical="center"/>
    </xf>
    <xf borderId="13" fillId="0" fontId="3" numFmtId="0" xfId="0" applyBorder="1" applyFont="1"/>
    <xf borderId="1" fillId="4" fontId="8" numFmtId="164" xfId="0" applyAlignment="1" applyBorder="1" applyFont="1" applyNumberFormat="1">
      <alignment horizontal="center" vertical="center"/>
    </xf>
    <xf borderId="1" fillId="4" fontId="8" numFmtId="0" xfId="0" applyAlignment="1" applyBorder="1" applyFont="1">
      <alignment horizontal="center" vertical="center"/>
    </xf>
    <xf borderId="3" fillId="4" fontId="8" numFmtId="0" xfId="0" applyAlignment="1" applyBorder="1" applyFont="1">
      <alignment horizontal="center" vertical="center"/>
    </xf>
    <xf borderId="8" fillId="0" fontId="3" numFmtId="0" xfId="0" applyBorder="1" applyFont="1"/>
    <xf borderId="1" fillId="3" fontId="7" numFmtId="0" xfId="0" applyAlignment="1" applyBorder="1" applyFont="1">
      <alignment horizontal="center" readingOrder="0" vertical="center"/>
    </xf>
    <xf borderId="2" fillId="3" fontId="7" numFmtId="0" xfId="0" applyAlignment="1" applyBorder="1" applyFont="1">
      <alignment horizontal="center" readingOrder="0" vertical="center"/>
    </xf>
    <xf borderId="1" fillId="3" fontId="8" numFmtId="0" xfId="0" applyAlignment="1" applyBorder="1" applyFont="1">
      <alignment horizontal="center" vertical="center"/>
    </xf>
    <xf borderId="1" fillId="3" fontId="7" numFmtId="0" xfId="0" applyAlignment="1" applyBorder="1" applyFont="1">
      <alignment horizontal="center" readingOrder="0" shrinkToFit="0" vertical="center" wrapText="1"/>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2" fillId="4" fontId="8"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xf borderId="2" fillId="4" fontId="7" numFmtId="0" xfId="0" applyAlignment="1" applyBorder="1" applyFont="1">
      <alignment horizontal="center" shrinkToFit="0" vertical="center" wrapText="1"/>
    </xf>
    <xf borderId="2" fillId="4" fontId="7" numFmtId="0" xfId="0" applyAlignment="1" applyBorder="1" applyFont="1">
      <alignment horizontal="center" readingOrder="0" shrinkToFit="0" vertical="center" wrapText="1"/>
    </xf>
    <xf borderId="0" fillId="2" fontId="9" numFmtId="0" xfId="0" applyAlignment="1" applyFont="1">
      <alignment horizontal="center" vertical="center"/>
    </xf>
    <xf borderId="0" fillId="2" fontId="9" numFmtId="0" xfId="0" applyAlignment="1" applyFont="1">
      <alignment horizontal="center" vertical="center"/>
    </xf>
    <xf borderId="0" fillId="2" fontId="1" numFmtId="0" xfId="0" applyAlignment="1" applyFont="1">
      <alignment horizontal="center" vertical="center"/>
    </xf>
    <xf borderId="7" fillId="2" fontId="9" numFmtId="0" xfId="0" applyAlignment="1" applyBorder="1" applyFont="1">
      <alignment horizontal="center" vertical="center"/>
    </xf>
    <xf borderId="7" fillId="3" fontId="2" numFmtId="0" xfId="0" applyAlignment="1" applyBorder="1" applyFont="1">
      <alignment horizontal="center" vertical="center"/>
    </xf>
    <xf borderId="14" fillId="2" fontId="9" numFmtId="0" xfId="0" applyAlignment="1" applyBorder="1" applyFont="1">
      <alignment horizontal="center" vertical="center"/>
    </xf>
    <xf borderId="7" fillId="2" fontId="9" numFmtId="0" xfId="0" applyAlignment="1" applyBorder="1" applyFont="1">
      <alignment horizontal="center" vertical="center"/>
    </xf>
    <xf borderId="5" fillId="2" fontId="9" numFmtId="0" xfId="0" applyAlignment="1" applyBorder="1" applyFont="1">
      <alignment horizontal="center" vertical="center"/>
    </xf>
    <xf borderId="8" fillId="3" fontId="2" numFmtId="0" xfId="0" applyAlignment="1" applyBorder="1" applyFont="1">
      <alignment horizontal="center" shrinkToFit="0" vertical="center" wrapText="1"/>
    </xf>
    <xf borderId="5" fillId="3" fontId="2" numFmtId="0" xfId="0" applyAlignment="1" applyBorder="1" applyFont="1">
      <alignment horizontal="center" shrinkToFit="0" vertical="center" wrapText="1"/>
    </xf>
    <xf borderId="7" fillId="2" fontId="2" numFmtId="0" xfId="0" applyAlignment="1" applyBorder="1" applyFont="1">
      <alignment horizontal="center" vertical="center"/>
    </xf>
    <xf borderId="5" fillId="4" fontId="1" numFmtId="165" xfId="0" applyAlignment="1" applyBorder="1" applyFont="1" applyNumberFormat="1">
      <alignment horizontal="center" vertical="center"/>
    </xf>
    <xf borderId="5" fillId="4" fontId="1" numFmtId="3" xfId="0" applyAlignment="1" applyBorder="1" applyFont="1" applyNumberFormat="1">
      <alignment horizontal="center" vertical="center"/>
    </xf>
    <xf borderId="5" fillId="3" fontId="9" numFmtId="0" xfId="0" applyAlignment="1" applyBorder="1" applyFont="1">
      <alignment horizontal="center" vertical="center"/>
    </xf>
    <xf borderId="7" fillId="3" fontId="2" numFmtId="0" xfId="0" applyAlignment="1" applyBorder="1" applyFont="1">
      <alignment horizontal="center" shrinkToFit="0" vertical="center" wrapText="1"/>
    </xf>
    <xf borderId="5" fillId="0" fontId="9" numFmtId="0" xfId="0" applyAlignment="1" applyBorder="1" applyFont="1">
      <alignment horizontal="center" vertical="center"/>
    </xf>
    <xf borderId="7" fillId="4" fontId="9" numFmtId="0" xfId="0" applyAlignment="1" applyBorder="1" applyFont="1">
      <alignment horizontal="center" shrinkToFit="0" vertical="center" wrapText="1"/>
    </xf>
    <xf borderId="14" fillId="0" fontId="3" numFmtId="0" xfId="0" applyBorder="1" applyFont="1"/>
    <xf borderId="5" fillId="4" fontId="9" numFmtId="0" xfId="0" applyAlignment="1" applyBorder="1" applyFont="1">
      <alignment horizontal="center" vertical="center"/>
    </xf>
    <xf borderId="5" fillId="4" fontId="9" numFmtId="0" xfId="0" applyAlignment="1" applyBorder="1" applyFont="1">
      <alignment horizontal="center" vertical="center"/>
    </xf>
    <xf borderId="5"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9" numFmtId="0" xfId="0" applyAlignment="1" applyBorder="1" applyFont="1">
      <alignment horizontal="center" vertical="center"/>
    </xf>
    <xf borderId="0" fillId="4" fontId="9" numFmtId="0" xfId="0" applyAlignment="1" applyFont="1">
      <alignment horizontal="center" shrinkToFit="0" vertical="center" wrapText="1"/>
    </xf>
    <xf borderId="0" fillId="3" fontId="2" numFmtId="0" xfId="0" applyAlignment="1" applyFont="1">
      <alignment horizontal="center" shrinkToFit="0" vertical="center" wrapText="1"/>
    </xf>
    <xf borderId="8" fillId="3" fontId="9" numFmtId="0" xfId="0" applyAlignment="1" applyBorder="1" applyFont="1">
      <alignment horizontal="center" vertical="center"/>
    </xf>
    <xf borderId="5" fillId="3" fontId="2" numFmtId="0" xfId="0" applyAlignment="1" applyBorder="1" applyFont="1">
      <alignment horizontal="center" vertical="center"/>
    </xf>
    <xf borderId="7" fillId="3" fontId="2" numFmtId="0" xfId="0" applyAlignment="1" applyBorder="1" applyFont="1">
      <alignment horizontal="center" vertical="center"/>
    </xf>
    <xf borderId="5" fillId="4" fontId="2" numFmtId="0" xfId="0" applyAlignment="1" applyBorder="1" applyFont="1">
      <alignment horizontal="center" shrinkToFit="0" vertical="center" wrapText="1"/>
    </xf>
    <xf borderId="5" fillId="4" fontId="1" numFmtId="0" xfId="0" applyAlignment="1" applyBorder="1" applyFont="1">
      <alignment horizontal="center" vertical="center"/>
    </xf>
    <xf borderId="7" fillId="4" fontId="1" numFmtId="0" xfId="0" applyAlignment="1" applyBorder="1" applyFont="1">
      <alignment horizontal="center" shrinkToFit="0" vertical="center" wrapText="1"/>
    </xf>
    <xf borderId="5" fillId="4" fontId="2" numFmtId="0" xfId="0" applyAlignment="1" applyBorder="1" applyFont="1">
      <alignment horizontal="center" shrinkToFit="0" vertical="center" wrapText="1"/>
    </xf>
    <xf borderId="5" fillId="4" fontId="2" numFmtId="0" xfId="0" applyAlignment="1" applyBorder="1" applyFont="1">
      <alignment horizontal="center" vertical="center"/>
    </xf>
    <xf borderId="7" fillId="4" fontId="2" numFmtId="0" xfId="0" applyAlignment="1" applyBorder="1" applyFont="1">
      <alignment horizontal="center" shrinkToFit="0" vertical="center" wrapText="1"/>
    </xf>
    <xf borderId="7" fillId="4" fontId="2" numFmtId="0" xfId="0" applyAlignment="1" applyBorder="1" applyFont="1">
      <alignment horizontal="center" shrinkToFit="0" vertical="center" wrapText="1"/>
    </xf>
    <xf borderId="7" fillId="4" fontId="1" numFmtId="0" xfId="0" applyAlignment="1" applyBorder="1" applyFont="1">
      <alignment horizontal="center" readingOrder="0" shrinkToFit="0" vertical="center" wrapText="1"/>
    </xf>
    <xf borderId="0" fillId="2" fontId="10" numFmtId="0" xfId="0" applyAlignment="1" applyFont="1">
      <alignment horizontal="center" vertical="center"/>
    </xf>
    <xf borderId="0" fillId="2" fontId="4" numFmtId="0" xfId="0" applyAlignment="1" applyFont="1">
      <alignment horizontal="center" shrinkToFit="0" vertical="center" wrapText="1"/>
    </xf>
    <xf borderId="15" fillId="2" fontId="9" numFmtId="0" xfId="0" applyAlignment="1" applyBorder="1" applyFont="1">
      <alignment horizontal="center" shrinkToFit="0" vertical="center" wrapText="1"/>
    </xf>
    <xf borderId="16" fillId="3" fontId="11" numFmtId="0" xfId="0" applyAlignment="1" applyBorder="1" applyFont="1">
      <alignment horizontal="center" readingOrder="0" shrinkToFit="0" vertical="center" wrapText="1"/>
    </xf>
    <xf borderId="16" fillId="0" fontId="3" numFmtId="0" xfId="0" applyBorder="1" applyFont="1"/>
    <xf borderId="17" fillId="0" fontId="3" numFmtId="0" xfId="0" applyBorder="1" applyFont="1"/>
    <xf borderId="0" fillId="2" fontId="9" numFmtId="0" xfId="0" applyAlignment="1" applyFont="1">
      <alignment horizontal="center" shrinkToFit="0" vertical="center" wrapText="1"/>
    </xf>
    <xf borderId="18" fillId="0" fontId="3" numFmtId="0" xfId="0" applyBorder="1" applyFont="1"/>
    <xf borderId="19" fillId="0" fontId="3" numFmtId="0" xfId="0" applyBorder="1" applyFont="1"/>
    <xf borderId="15" fillId="3" fontId="11" numFmtId="0" xfId="0" applyAlignment="1" applyBorder="1" applyFont="1">
      <alignment horizontal="center" shrinkToFit="0" vertical="center" wrapText="1"/>
    </xf>
    <xf borderId="19" fillId="3" fontId="11" numFmtId="0" xfId="0" applyAlignment="1" applyBorder="1" applyFont="1">
      <alignment horizontal="center" shrinkToFit="0" vertical="center" wrapText="1"/>
    </xf>
    <xf borderId="19" fillId="3" fontId="11" numFmtId="166" xfId="0" applyAlignment="1" applyBorder="1" applyFont="1" applyNumberFormat="1">
      <alignment horizontal="center" shrinkToFit="0" vertical="center" wrapText="1"/>
    </xf>
    <xf borderId="0" fillId="2" fontId="11" numFmtId="0" xfId="0" applyAlignment="1" applyFont="1">
      <alignment horizontal="center" shrinkToFit="0" vertical="center" wrapText="1"/>
    </xf>
    <xf borderId="1" fillId="4" fontId="9" numFmtId="166" xfId="0" applyAlignment="1" applyBorder="1" applyFont="1" applyNumberFormat="1">
      <alignment horizontal="center" readingOrder="0" shrinkToFit="0" vertical="center" wrapText="1"/>
    </xf>
    <xf borderId="1" fillId="4" fontId="9" numFmtId="0" xfId="0" applyAlignment="1" applyBorder="1" applyFont="1">
      <alignment horizontal="center" readingOrder="0" shrinkToFit="0" vertical="center" wrapText="1"/>
    </xf>
    <xf borderId="0" fillId="5" fontId="9" numFmtId="166" xfId="0" applyAlignment="1" applyFill="1" applyFont="1" applyNumberFormat="1">
      <alignment horizontal="center" shrinkToFit="0" vertical="center" wrapText="1"/>
    </xf>
    <xf borderId="0" fillId="6" fontId="9" numFmtId="166" xfId="0" applyAlignment="1" applyFill="1" applyFont="1" applyNumberFormat="1">
      <alignment horizontal="center" shrinkToFit="0" vertical="center" wrapText="1"/>
    </xf>
    <xf borderId="0" fillId="7" fontId="9" numFmtId="166" xfId="0" applyAlignment="1" applyFill="1" applyFont="1" applyNumberFormat="1">
      <alignment horizontal="center" shrinkToFit="0" vertical="center" wrapText="1"/>
    </xf>
    <xf borderId="0" fillId="8" fontId="9" numFmtId="166" xfId="0" applyAlignment="1" applyFill="1" applyFont="1" applyNumberFormat="1">
      <alignment horizontal="center" shrinkToFit="0" vertical="center" wrapText="1"/>
    </xf>
    <xf borderId="0" fillId="9" fontId="9" numFmtId="166" xfId="0" applyAlignment="1" applyFill="1" applyFont="1" applyNumberFormat="1">
      <alignment horizontal="center" shrinkToFit="0" vertical="center" wrapText="1"/>
    </xf>
    <xf borderId="0" fillId="10" fontId="9" numFmtId="166" xfId="0" applyAlignment="1" applyFill="1" applyFont="1" applyNumberFormat="1">
      <alignment horizontal="center" shrinkToFit="0" vertical="center" wrapText="1"/>
    </xf>
    <xf borderId="0" fillId="2" fontId="9" numFmtId="166" xfId="0" applyAlignment="1" applyFont="1" applyNumberFormat="1">
      <alignment horizontal="center" shrinkToFit="0" vertical="center" wrapText="1"/>
    </xf>
    <xf borderId="19" fillId="5" fontId="9" numFmtId="0" xfId="0" applyAlignment="1" applyBorder="1" applyFont="1">
      <alignment horizontal="center" shrinkToFit="0" vertical="center" wrapText="1"/>
    </xf>
    <xf borderId="19" fillId="6" fontId="9" numFmtId="0" xfId="0" applyAlignment="1" applyBorder="1" applyFont="1">
      <alignment horizontal="center" shrinkToFit="0" vertical="center" wrapText="1"/>
    </xf>
    <xf borderId="19" fillId="7" fontId="9" numFmtId="0" xfId="0" applyAlignment="1" applyBorder="1" applyFont="1">
      <alignment horizontal="center" shrinkToFit="0" vertical="center" wrapText="1"/>
    </xf>
    <xf borderId="19" fillId="8" fontId="9" numFmtId="0" xfId="0" applyAlignment="1" applyBorder="1" applyFont="1">
      <alignment horizontal="center" shrinkToFit="0" vertical="center" wrapText="1"/>
    </xf>
    <xf borderId="19" fillId="9" fontId="9" numFmtId="0" xfId="0" applyAlignment="1" applyBorder="1" applyFont="1">
      <alignment horizontal="center" shrinkToFit="0" vertical="center" wrapText="1"/>
    </xf>
    <xf borderId="18" fillId="2" fontId="9" numFmtId="0" xfId="0" applyAlignment="1" applyBorder="1" applyFont="1">
      <alignment horizontal="center" shrinkToFit="0" vertical="center" wrapText="1"/>
    </xf>
    <xf borderId="18" fillId="2" fontId="9" numFmtId="166" xfId="0" applyAlignment="1" applyBorder="1" applyFont="1" applyNumberFormat="1">
      <alignment horizontal="center" shrinkToFit="0" vertical="center" wrapText="1"/>
    </xf>
    <xf borderId="19" fillId="10" fontId="9" numFmtId="0" xfId="0" applyAlignment="1" applyBorder="1" applyFont="1">
      <alignment horizontal="center" shrinkToFit="0" vertical="center" wrapText="1"/>
    </xf>
    <xf borderId="0" fillId="2" fontId="11" numFmtId="166" xfId="0" applyAlignment="1" applyFont="1" applyNumberFormat="1">
      <alignment horizontal="center" shrinkToFit="0" vertical="center" wrapText="1"/>
    </xf>
  </cellXfs>
  <cellStyles count="1">
    <cellStyle xfId="0" name="Normal" builtinId="0"/>
  </cellStyles>
  <dxfs count="5">
    <dxf>
      <font/>
      <fill>
        <patternFill patternType="solid">
          <fgColor rgb="FFFF0000"/>
          <bgColor rgb="FFFF0000"/>
        </patternFill>
      </fill>
      <border/>
    </dxf>
    <dxf>
      <font/>
      <fill>
        <patternFill patternType="solid">
          <fgColor rgb="FFFFFFFF"/>
          <bgColor rgb="FFFFFFFF"/>
        </patternFill>
      </fill>
      <border/>
    </dxf>
    <dxf>
      <font/>
      <fill>
        <patternFill patternType="solid">
          <fgColor rgb="FFFF9900"/>
          <bgColor rgb="FFFF9900"/>
        </patternFill>
      </fill>
      <border/>
    </dxf>
    <dxf>
      <font/>
      <fill>
        <patternFill patternType="solid">
          <fgColor rgb="FF6AA84F"/>
          <bgColor rgb="FF6AA84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'Sales &amp; Marketing Analysis'!$B$25</c:f>
            </c:strRef>
          </c:tx>
          <c:spPr>
            <a:ln cmpd="sng">
              <a:solidFill>
                <a:srgbClr val="4285F4"/>
              </a:solidFill>
            </a:ln>
          </c:spPr>
          <c:marker>
            <c:symbol val="none"/>
          </c:marker>
          <c:cat>
            <c:strRef>
              <c:f>'Sales &amp; Marketing Analysis'!$A$26:$A$33</c:f>
            </c:strRef>
          </c:cat>
          <c:val>
            <c:numRef>
              <c:f>'Sales &amp; Marketing Analysis'!$B$26:$B$33</c:f>
              <c:numCache/>
            </c:numRef>
          </c:val>
          <c:smooth val="1"/>
        </c:ser>
        <c:axId val="755864404"/>
        <c:axId val="1180332251"/>
      </c:radarChart>
      <c:catAx>
        <c:axId val="755864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80332251"/>
      </c:catAx>
      <c:valAx>
        <c:axId val="1180332251"/>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864404"/>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png"/><Relationship Id="rId3"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22</xdr:row>
      <xdr:rowOff>180975</xdr:rowOff>
    </xdr:from>
    <xdr:ext cx="6143625" cy="3743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1143000</xdr:colOff>
      <xdr:row>30</xdr:row>
      <xdr:rowOff>171450</xdr:rowOff>
    </xdr:from>
    <xdr:ext cx="6162675" cy="33051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0</xdr:row>
      <xdr:rowOff>152400</xdr:rowOff>
    </xdr:from>
    <xdr:ext cx="1695450" cy="581025"/>
    <xdr:pic>
      <xdr:nvPicPr>
        <xdr:cNvPr id="0" name="image1.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4276725" cy="14668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00425" cy="11715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3" width="14.88"/>
    <col customWidth="1" min="4" max="4" width="21.38"/>
    <col customWidth="1" min="5" max="5" width="16.5"/>
    <col customWidth="1" min="6" max="6" width="15.75"/>
    <col customWidth="1" min="7" max="8" width="15.63"/>
    <col customWidth="1" min="9" max="9" width="25.0"/>
    <col customWidth="1" min="10" max="10" width="17.13"/>
  </cols>
  <sheetData>
    <row r="1" ht="43.5" customHeight="1">
      <c r="A1" s="1"/>
      <c r="B1" s="1"/>
      <c r="C1" s="1"/>
      <c r="D1" s="1"/>
      <c r="E1" s="1"/>
      <c r="F1" s="1"/>
      <c r="G1" s="1"/>
      <c r="H1" s="1"/>
      <c r="I1" s="1"/>
      <c r="J1" s="1"/>
    </row>
    <row r="2">
      <c r="A2" s="1"/>
      <c r="B2" s="1"/>
      <c r="C2" s="1"/>
      <c r="D2" s="1"/>
      <c r="E2" s="1"/>
      <c r="F2" s="1"/>
      <c r="G2" s="1"/>
      <c r="H2" s="1"/>
      <c r="I2" s="1"/>
      <c r="J2" s="1"/>
    </row>
    <row r="3">
      <c r="A3" s="1"/>
      <c r="B3" s="1"/>
      <c r="C3" s="1"/>
      <c r="D3" s="1"/>
      <c r="E3" s="1"/>
      <c r="F3" s="1"/>
      <c r="G3" s="1"/>
      <c r="H3" s="1"/>
      <c r="I3" s="1"/>
      <c r="J3" s="1"/>
    </row>
    <row r="4" ht="4.5" customHeight="1">
      <c r="A4" s="1"/>
      <c r="B4" s="1"/>
      <c r="C4" s="1"/>
      <c r="D4" s="1"/>
      <c r="E4" s="1"/>
      <c r="F4" s="1"/>
      <c r="G4" s="1"/>
      <c r="H4" s="1"/>
      <c r="I4" s="1"/>
      <c r="J4" s="1"/>
    </row>
    <row r="5" ht="51.0" customHeight="1">
      <c r="A5" s="2" t="s">
        <v>0</v>
      </c>
      <c r="B5" s="3"/>
      <c r="C5" s="4"/>
      <c r="D5" s="5"/>
      <c r="E5" s="6" t="s">
        <v>1</v>
      </c>
      <c r="F5" s="3"/>
      <c r="G5" s="4"/>
      <c r="H5" s="5"/>
      <c r="I5" s="7"/>
      <c r="J5" s="7"/>
    </row>
    <row r="6" ht="36.0" customHeight="1">
      <c r="A6" s="2" t="s">
        <v>2</v>
      </c>
      <c r="B6" s="3"/>
      <c r="C6" s="4"/>
      <c r="D6" s="5"/>
      <c r="E6" s="6" t="s">
        <v>3</v>
      </c>
      <c r="F6" s="3"/>
      <c r="G6" s="4"/>
      <c r="H6" s="5"/>
      <c r="I6" s="7"/>
      <c r="J6" s="7"/>
    </row>
    <row r="7" ht="45.0" customHeight="1">
      <c r="A7" s="8" t="s">
        <v>4</v>
      </c>
      <c r="B7" s="3"/>
      <c r="C7" s="4"/>
      <c r="D7" s="5"/>
      <c r="E7" s="6" t="s">
        <v>5</v>
      </c>
      <c r="F7" s="3"/>
      <c r="G7" s="4"/>
      <c r="H7" s="5"/>
      <c r="I7" s="7"/>
      <c r="J7" s="7"/>
    </row>
    <row r="8">
      <c r="A8" s="9"/>
      <c r="B8" s="9"/>
      <c r="C8" s="9"/>
      <c r="D8" s="9"/>
      <c r="E8" s="9"/>
      <c r="F8" s="9"/>
      <c r="G8" s="9"/>
      <c r="H8" s="9"/>
      <c r="I8" s="9"/>
      <c r="J8" s="9"/>
    </row>
    <row r="9" ht="31.5" customHeight="1">
      <c r="A9" s="10" t="s">
        <v>6</v>
      </c>
      <c r="B9" s="11"/>
      <c r="C9" s="11"/>
      <c r="D9" s="11"/>
      <c r="E9" s="11"/>
      <c r="F9" s="11"/>
      <c r="G9" s="11"/>
      <c r="H9" s="11"/>
      <c r="I9" s="11"/>
      <c r="J9" s="9"/>
    </row>
    <row r="10">
      <c r="A10" s="12"/>
      <c r="B10" s="8" t="s">
        <v>7</v>
      </c>
      <c r="C10" s="13" t="s">
        <v>8</v>
      </c>
      <c r="D10" s="8" t="s">
        <v>9</v>
      </c>
      <c r="E10" s="13" t="s">
        <v>10</v>
      </c>
      <c r="F10" s="8" t="s">
        <v>11</v>
      </c>
      <c r="G10" s="8" t="s">
        <v>12</v>
      </c>
      <c r="H10" s="13" t="s">
        <v>13</v>
      </c>
      <c r="I10" s="13" t="s">
        <v>14</v>
      </c>
      <c r="J10" s="14"/>
    </row>
    <row r="11" ht="26.25" customHeight="1">
      <c r="A11" s="15" t="s">
        <v>15</v>
      </c>
      <c r="B11" s="16"/>
      <c r="C11" s="16"/>
      <c r="D11" s="17"/>
      <c r="E11" s="16"/>
      <c r="F11" s="16"/>
      <c r="G11" s="16"/>
      <c r="H11" s="16"/>
      <c r="I11" s="16"/>
      <c r="J11" s="18"/>
    </row>
    <row r="12" ht="26.25" customHeight="1">
      <c r="A12" s="15" t="s">
        <v>16</v>
      </c>
      <c r="B12" s="19"/>
      <c r="C12" s="19"/>
      <c r="D12" s="19"/>
      <c r="E12" s="19"/>
      <c r="F12" s="19"/>
      <c r="G12" s="16"/>
      <c r="H12" s="16"/>
      <c r="I12" s="19"/>
      <c r="J12" s="20"/>
    </row>
    <row r="13" ht="26.25" customHeight="1">
      <c r="A13" s="15" t="s">
        <v>17</v>
      </c>
      <c r="B13" s="19"/>
      <c r="C13" s="19"/>
      <c r="D13" s="19"/>
      <c r="E13" s="19"/>
      <c r="F13" s="19"/>
      <c r="G13" s="16"/>
      <c r="H13" s="16"/>
      <c r="I13" s="19"/>
      <c r="J13" s="20"/>
    </row>
    <row r="14" ht="26.25" customHeight="1">
      <c r="A14" s="15" t="s">
        <v>18</v>
      </c>
      <c r="B14" s="19"/>
      <c r="C14" s="19"/>
      <c r="D14" s="19"/>
      <c r="E14" s="19"/>
      <c r="F14" s="19"/>
      <c r="G14" s="16"/>
      <c r="H14" s="16"/>
      <c r="I14" s="19"/>
      <c r="J14" s="20"/>
    </row>
    <row r="15" ht="26.25" customHeight="1">
      <c r="A15" s="15" t="s">
        <v>19</v>
      </c>
      <c r="B15" s="19"/>
      <c r="C15" s="19"/>
      <c r="D15" s="19"/>
      <c r="E15" s="19"/>
      <c r="F15" s="19"/>
      <c r="G15" s="16"/>
      <c r="H15" s="16"/>
      <c r="I15" s="19"/>
      <c r="J15" s="20"/>
    </row>
    <row r="16" ht="26.25" customHeight="1">
      <c r="A16" s="15" t="s">
        <v>20</v>
      </c>
      <c r="B16" s="19"/>
      <c r="C16" s="19"/>
      <c r="D16" s="19"/>
      <c r="E16" s="19"/>
      <c r="F16" s="19"/>
      <c r="G16" s="19"/>
      <c r="H16" s="19"/>
      <c r="I16" s="19"/>
      <c r="J16" s="20"/>
    </row>
    <row r="17" ht="26.25" customHeight="1">
      <c r="A17" s="15" t="s">
        <v>21</v>
      </c>
      <c r="B17" s="19"/>
      <c r="C17" s="19"/>
      <c r="D17" s="19"/>
      <c r="E17" s="19"/>
      <c r="F17" s="19"/>
      <c r="G17" s="19"/>
      <c r="H17" s="19"/>
      <c r="I17" s="19"/>
      <c r="J17" s="20"/>
    </row>
    <row r="18" ht="26.25" customHeight="1">
      <c r="A18" s="15" t="s">
        <v>22</v>
      </c>
      <c r="B18" s="19"/>
      <c r="C18" s="19"/>
      <c r="D18" s="19"/>
      <c r="E18" s="19"/>
      <c r="F18" s="19"/>
      <c r="G18" s="19"/>
      <c r="H18" s="19"/>
      <c r="I18" s="19"/>
      <c r="J18" s="20"/>
    </row>
    <row r="19" ht="26.25" customHeight="1">
      <c r="A19" s="15" t="s">
        <v>23</v>
      </c>
      <c r="B19" s="19"/>
      <c r="C19" s="19"/>
      <c r="D19" s="19"/>
      <c r="E19" s="19"/>
      <c r="F19" s="19"/>
      <c r="G19" s="19"/>
      <c r="H19" s="19"/>
      <c r="I19" s="19"/>
      <c r="J19" s="20"/>
    </row>
    <row r="20" ht="26.25" customHeight="1">
      <c r="A20" s="15" t="s">
        <v>24</v>
      </c>
      <c r="B20" s="19"/>
      <c r="C20" s="19"/>
      <c r="D20" s="19"/>
      <c r="E20" s="19"/>
      <c r="F20" s="19"/>
      <c r="G20" s="19"/>
      <c r="H20" s="19"/>
      <c r="I20" s="19"/>
      <c r="J20" s="20"/>
    </row>
    <row r="21" ht="26.25" customHeight="1">
      <c r="A21" s="15" t="s">
        <v>25</v>
      </c>
      <c r="B21" s="19"/>
      <c r="C21" s="19"/>
      <c r="D21" s="19"/>
      <c r="E21" s="19"/>
      <c r="F21" s="19"/>
      <c r="G21" s="19"/>
      <c r="H21" s="19"/>
      <c r="I21" s="19"/>
      <c r="J21" s="20"/>
    </row>
    <row r="22" ht="26.25" customHeight="1">
      <c r="A22" s="15" t="s">
        <v>26</v>
      </c>
      <c r="B22" s="19"/>
      <c r="C22" s="19"/>
      <c r="D22" s="19"/>
      <c r="E22" s="19"/>
      <c r="F22" s="19"/>
      <c r="G22" s="19"/>
      <c r="H22" s="19"/>
      <c r="I22" s="19"/>
      <c r="J22" s="20"/>
    </row>
    <row r="23">
      <c r="A23" s="1"/>
      <c r="B23" s="1"/>
      <c r="C23" s="1"/>
      <c r="D23" s="1"/>
      <c r="E23" s="1"/>
      <c r="F23" s="1"/>
      <c r="G23" s="1"/>
      <c r="H23" s="1"/>
      <c r="I23" s="1"/>
      <c r="J23" s="1"/>
    </row>
    <row r="24" ht="31.5" customHeight="1">
      <c r="A24" s="14"/>
      <c r="B24" s="14"/>
      <c r="C24" s="1"/>
      <c r="D24" s="1"/>
      <c r="E24" s="1"/>
      <c r="F24" s="1"/>
      <c r="G24" s="1"/>
      <c r="H24" s="1"/>
      <c r="I24" s="1"/>
      <c r="J24" s="1"/>
    </row>
    <row r="25" ht="52.5" customHeight="1">
      <c r="A25" s="21" t="s">
        <v>27</v>
      </c>
      <c r="C25" s="1"/>
      <c r="D25" s="1"/>
      <c r="E25" s="1"/>
      <c r="F25" s="1"/>
      <c r="G25" s="1"/>
      <c r="H25" s="1"/>
      <c r="I25" s="1"/>
      <c r="J25" s="1"/>
    </row>
    <row r="26" ht="24.75" customHeight="1">
      <c r="A26" s="21" t="s">
        <v>28</v>
      </c>
      <c r="B26" s="22">
        <v>0.0</v>
      </c>
      <c r="C26" s="1"/>
      <c r="D26" s="1"/>
      <c r="E26" s="1"/>
      <c r="F26" s="1"/>
      <c r="G26" s="1"/>
      <c r="H26" s="1"/>
      <c r="I26" s="1"/>
      <c r="J26" s="1"/>
    </row>
    <row r="27" ht="44.25" customHeight="1">
      <c r="A27" s="21" t="s">
        <v>29</v>
      </c>
      <c r="B27" s="22">
        <v>0.0</v>
      </c>
      <c r="C27" s="1"/>
      <c r="D27" s="1"/>
      <c r="E27" s="1"/>
      <c r="F27" s="1"/>
      <c r="G27" s="1"/>
      <c r="H27" s="1"/>
      <c r="I27" s="1"/>
      <c r="J27" s="1"/>
    </row>
    <row r="28" ht="33.75" customHeight="1">
      <c r="A28" s="21" t="s">
        <v>30</v>
      </c>
      <c r="B28" s="22">
        <v>0.0</v>
      </c>
      <c r="C28" s="1"/>
      <c r="D28" s="1"/>
      <c r="E28" s="1"/>
      <c r="F28" s="1"/>
      <c r="G28" s="1"/>
      <c r="H28" s="1"/>
      <c r="I28" s="1"/>
      <c r="J28" s="1"/>
    </row>
    <row r="29" ht="55.5" customHeight="1">
      <c r="A29" s="21" t="s">
        <v>31</v>
      </c>
      <c r="B29" s="22">
        <v>0.0</v>
      </c>
      <c r="C29" s="1"/>
      <c r="D29" s="1"/>
      <c r="E29" s="1"/>
      <c r="F29" s="1"/>
      <c r="G29" s="1"/>
      <c r="H29" s="1"/>
      <c r="I29" s="1"/>
      <c r="J29" s="1"/>
    </row>
    <row r="30" ht="30.0" customHeight="1">
      <c r="A30" s="21" t="s">
        <v>32</v>
      </c>
      <c r="B30" s="22">
        <v>0.0</v>
      </c>
      <c r="C30" s="1"/>
      <c r="D30" s="1"/>
      <c r="E30" s="1"/>
      <c r="F30" s="1"/>
      <c r="G30" s="1"/>
      <c r="H30" s="1"/>
      <c r="I30" s="1"/>
      <c r="J30" s="1"/>
    </row>
    <row r="31" ht="82.5" customHeight="1">
      <c r="A31" s="21" t="s">
        <v>33</v>
      </c>
      <c r="B31" s="22">
        <v>0.0</v>
      </c>
      <c r="C31" s="1"/>
      <c r="D31" s="1"/>
      <c r="E31" s="1"/>
      <c r="F31" s="1"/>
      <c r="G31" s="1"/>
      <c r="H31" s="1"/>
      <c r="I31" s="1"/>
      <c r="J31" s="1"/>
    </row>
    <row r="32" ht="43.5" customHeight="1">
      <c r="A32" s="21" t="s">
        <v>34</v>
      </c>
      <c r="B32" s="22">
        <v>0.0</v>
      </c>
      <c r="C32" s="1"/>
      <c r="D32" s="1"/>
      <c r="E32" s="1"/>
      <c r="F32" s="1"/>
      <c r="G32" s="1"/>
      <c r="H32" s="1"/>
      <c r="I32" s="1"/>
      <c r="J32" s="1"/>
    </row>
    <row r="33" ht="22.5" customHeight="1">
      <c r="A33" s="21" t="s">
        <v>35</v>
      </c>
      <c r="B33" s="22">
        <v>0.0</v>
      </c>
      <c r="C33" s="1"/>
      <c r="D33" s="1"/>
      <c r="E33" s="1"/>
      <c r="F33" s="1"/>
      <c r="G33" s="1"/>
      <c r="H33" s="1"/>
      <c r="I33" s="1"/>
      <c r="J33" s="1"/>
    </row>
    <row r="34" ht="22.5" customHeight="1">
      <c r="A34" s="14"/>
      <c r="B34" s="14"/>
      <c r="C34" s="1"/>
      <c r="D34" s="1"/>
      <c r="E34" s="1"/>
      <c r="F34" s="1"/>
      <c r="G34" s="1"/>
      <c r="H34" s="1"/>
      <c r="I34" s="1"/>
      <c r="J34" s="1"/>
    </row>
    <row r="35" ht="22.5" customHeight="1">
      <c r="A35" s="14"/>
      <c r="B35" s="14"/>
      <c r="C35" s="1"/>
      <c r="D35" s="1"/>
      <c r="E35" s="1"/>
      <c r="F35" s="1"/>
      <c r="G35" s="1"/>
      <c r="H35" s="1"/>
      <c r="I35" s="1"/>
      <c r="J35" s="1"/>
    </row>
    <row r="36" ht="22.5" customHeight="1">
      <c r="A36" s="1"/>
      <c r="B36" s="1"/>
      <c r="C36" s="1"/>
      <c r="D36" s="1"/>
      <c r="E36" s="1"/>
      <c r="F36" s="1"/>
      <c r="G36" s="1"/>
      <c r="H36" s="1"/>
      <c r="I36" s="1"/>
      <c r="J36" s="1"/>
    </row>
    <row r="37" ht="22.5" customHeight="1">
      <c r="A37" s="1"/>
      <c r="B37" s="1"/>
      <c r="C37" s="1"/>
      <c r="D37" s="1"/>
      <c r="E37" s="1"/>
      <c r="F37" s="1"/>
      <c r="G37" s="1"/>
      <c r="H37" s="1"/>
      <c r="I37" s="1"/>
      <c r="J37" s="1"/>
    </row>
    <row r="38" ht="22.5" customHeight="1">
      <c r="A38" s="1"/>
      <c r="B38" s="1"/>
      <c r="C38" s="1"/>
      <c r="D38" s="1"/>
      <c r="E38" s="1"/>
      <c r="F38" s="1"/>
      <c r="G38" s="1"/>
      <c r="H38" s="1"/>
      <c r="I38" s="1"/>
      <c r="J38" s="1"/>
    </row>
    <row r="39" ht="22.5" customHeight="1">
      <c r="A39" s="1"/>
      <c r="B39" s="1"/>
      <c r="C39" s="1"/>
      <c r="D39" s="1"/>
      <c r="E39" s="1"/>
      <c r="F39" s="1"/>
      <c r="G39" s="1"/>
      <c r="H39" s="1"/>
      <c r="I39" s="1"/>
      <c r="J39" s="1"/>
    </row>
    <row r="40" ht="22.5" customHeight="1">
      <c r="A40" s="1"/>
      <c r="B40" s="1"/>
      <c r="C40" s="1"/>
      <c r="D40" s="1"/>
      <c r="E40" s="1"/>
      <c r="F40" s="1"/>
      <c r="G40" s="1"/>
      <c r="H40" s="1"/>
      <c r="I40" s="1"/>
      <c r="J40" s="1"/>
    </row>
    <row r="41" ht="22.5" customHeight="1">
      <c r="A41" s="1"/>
      <c r="B41" s="1"/>
      <c r="C41" s="1"/>
      <c r="D41" s="1"/>
      <c r="E41" s="1"/>
      <c r="F41" s="1"/>
      <c r="G41" s="1"/>
      <c r="H41" s="1"/>
      <c r="I41" s="1"/>
      <c r="J41" s="1"/>
    </row>
    <row r="42" ht="22.5" customHeight="1">
      <c r="A42" s="1"/>
      <c r="B42" s="1"/>
      <c r="C42" s="1"/>
      <c r="D42" s="1"/>
      <c r="E42" s="1"/>
      <c r="F42" s="1"/>
      <c r="G42" s="1"/>
      <c r="H42" s="1"/>
      <c r="I42" s="1"/>
      <c r="J42" s="1"/>
    </row>
  </sheetData>
  <mergeCells count="8">
    <mergeCell ref="B5:D5"/>
    <mergeCell ref="F5:H5"/>
    <mergeCell ref="B6:D6"/>
    <mergeCell ref="F6:H6"/>
    <mergeCell ref="B7:D7"/>
    <mergeCell ref="F7:H7"/>
    <mergeCell ref="A9:I9"/>
    <mergeCell ref="A25:B25"/>
  </mergeCells>
  <conditionalFormatting sqref="B26:B35">
    <cfRule type="cellIs" dxfId="0" priority="1" operator="between">
      <formula>1</formula>
      <formula>3</formula>
    </cfRule>
  </conditionalFormatting>
  <conditionalFormatting sqref="B26:B35">
    <cfRule type="cellIs" dxfId="1" priority="2" operator="equal">
      <formula>0</formula>
    </cfRule>
  </conditionalFormatting>
  <conditionalFormatting sqref="B26:B35">
    <cfRule type="cellIs" dxfId="2" priority="3" operator="lessThanOrEqual">
      <formula>6</formula>
    </cfRule>
  </conditionalFormatting>
  <conditionalFormatting sqref="B26:B35">
    <cfRule type="cellIs" dxfId="3" priority="4" operator="between">
      <formula>8</formula>
      <formula>10</formula>
    </cfRule>
  </conditionalFormatting>
  <conditionalFormatting sqref="G31:H31">
    <cfRule type="notContainsBlanks" dxfId="4" priority="5">
      <formula>LEN(TRIM(G31))&gt;0</formula>
    </cfRule>
  </conditionalFormatting>
  <conditionalFormatting sqref="G11:G22">
    <cfRule type="notContainsBlanks" dxfId="4" priority="6">
      <formula>LEN(TRIM(G11))&gt;0</formula>
    </cfRule>
  </conditionalFormatting>
  <dataValidations>
    <dataValidation type="list" allowBlank="1" showErrorMessage="1" sqref="B26:B33">
      <formula1>"0,1,2,3,4,5,6,7,8,9,10"</formula1>
    </dataValidation>
    <dataValidation type="list" allowBlank="1" showErrorMessage="1" sqref="F7">
      <formula1>"Gold,Silver,Bronze"</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33.13"/>
    <col customWidth="1" min="3" max="3" width="35.63"/>
    <col customWidth="1" min="4" max="4" width="24.13"/>
    <col customWidth="1" min="5" max="5" width="21.13"/>
    <col customWidth="1" min="6" max="6" width="13.38"/>
    <col customWidth="1" min="7" max="7" width="4.88"/>
    <col customWidth="1" min="8" max="8" width="29.13"/>
    <col customWidth="1" min="11" max="11" width="20.88"/>
    <col customWidth="1" min="14" max="14" width="23.38"/>
    <col customWidth="1" min="15" max="15" width="25.5"/>
    <col customWidth="1" min="16" max="16" width="16.5"/>
  </cols>
  <sheetData>
    <row r="1" ht="145.5" customHeight="1">
      <c r="A1" s="23"/>
      <c r="B1" s="23"/>
      <c r="C1" s="24"/>
      <c r="D1" s="24"/>
      <c r="E1" s="24"/>
      <c r="F1" s="24"/>
      <c r="G1" s="23"/>
      <c r="H1" s="23"/>
      <c r="I1" s="25"/>
      <c r="J1" s="25"/>
      <c r="K1" s="25"/>
      <c r="L1" s="7"/>
      <c r="M1" s="7"/>
      <c r="N1" s="7"/>
      <c r="O1" s="7"/>
      <c r="P1" s="7"/>
      <c r="Q1" s="7"/>
      <c r="R1" s="7"/>
      <c r="S1" s="7"/>
      <c r="T1" s="25"/>
      <c r="U1" s="23"/>
      <c r="V1" s="23"/>
      <c r="W1" s="23"/>
      <c r="X1" s="23"/>
      <c r="Y1" s="23"/>
    </row>
    <row r="2" ht="63.0" customHeight="1">
      <c r="A2" s="26" t="s">
        <v>36</v>
      </c>
      <c r="B2" s="4"/>
      <c r="C2" s="4"/>
      <c r="D2" s="4"/>
      <c r="E2" s="4"/>
      <c r="F2" s="4"/>
      <c r="G2" s="4"/>
      <c r="H2" s="4"/>
      <c r="I2" s="27"/>
      <c r="J2" s="28" t="s">
        <v>37</v>
      </c>
      <c r="K2" s="29"/>
      <c r="L2" s="29"/>
      <c r="M2" s="29"/>
      <c r="N2" s="29"/>
      <c r="O2" s="29"/>
      <c r="P2" s="30"/>
      <c r="Q2" s="31" t="s">
        <v>38</v>
      </c>
      <c r="R2" s="7"/>
      <c r="S2" s="7"/>
      <c r="T2" s="25"/>
      <c r="U2" s="23"/>
      <c r="V2" s="23"/>
      <c r="W2" s="23"/>
      <c r="X2" s="23"/>
      <c r="Y2" s="23"/>
    </row>
    <row r="3" ht="54.0" customHeight="1">
      <c r="A3" s="32"/>
      <c r="B3" s="33" t="s">
        <v>39</v>
      </c>
      <c r="C3" s="34" t="s">
        <v>40</v>
      </c>
      <c r="D3" s="35"/>
      <c r="E3" s="34" t="s">
        <v>39</v>
      </c>
      <c r="F3" s="36"/>
      <c r="G3" s="34" t="s">
        <v>40</v>
      </c>
      <c r="H3" s="36"/>
      <c r="I3" s="25"/>
      <c r="J3" s="37" t="s">
        <v>41</v>
      </c>
      <c r="K3" s="38"/>
      <c r="L3" s="4"/>
      <c r="M3" s="4"/>
      <c r="N3" s="4"/>
      <c r="O3" s="4"/>
      <c r="P3" s="5"/>
      <c r="Q3" s="39" t="b">
        <v>0</v>
      </c>
      <c r="R3" s="7"/>
      <c r="S3" s="7"/>
      <c r="T3" s="25"/>
      <c r="U3" s="40"/>
      <c r="V3" s="40"/>
      <c r="W3" s="40"/>
      <c r="X3" s="40"/>
      <c r="Y3" s="40"/>
    </row>
    <row r="4" ht="70.5" customHeight="1">
      <c r="A4" s="41" t="s">
        <v>15</v>
      </c>
      <c r="B4" s="42"/>
      <c r="C4" s="43"/>
      <c r="D4" s="41" t="s">
        <v>21</v>
      </c>
      <c r="E4" s="43"/>
      <c r="F4" s="36"/>
      <c r="G4" s="43"/>
      <c r="H4" s="36"/>
      <c r="I4" s="25"/>
      <c r="J4" s="37" t="s">
        <v>42</v>
      </c>
      <c r="K4" s="38"/>
      <c r="L4" s="4"/>
      <c r="M4" s="4"/>
      <c r="N4" s="4"/>
      <c r="O4" s="4"/>
      <c r="P4" s="5"/>
      <c r="Q4" s="39" t="b">
        <v>0</v>
      </c>
      <c r="R4" s="7"/>
      <c r="S4" s="7"/>
      <c r="T4" s="25"/>
      <c r="U4" s="40"/>
      <c r="V4" s="40"/>
      <c r="W4" s="40"/>
      <c r="X4" s="40"/>
      <c r="Y4" s="40"/>
    </row>
    <row r="5" ht="70.5" customHeight="1">
      <c r="A5" s="41" t="s">
        <v>16</v>
      </c>
      <c r="B5" s="42"/>
      <c r="C5" s="43"/>
      <c r="D5" s="41" t="s">
        <v>22</v>
      </c>
      <c r="E5" s="43"/>
      <c r="F5" s="36"/>
      <c r="G5" s="43"/>
      <c r="H5" s="36"/>
      <c r="I5" s="25"/>
      <c r="J5" s="37" t="s">
        <v>43</v>
      </c>
      <c r="K5" s="38"/>
      <c r="L5" s="4"/>
      <c r="M5" s="4"/>
      <c r="N5" s="4"/>
      <c r="O5" s="4"/>
      <c r="P5" s="5"/>
      <c r="Q5" s="39" t="b">
        <v>0</v>
      </c>
      <c r="R5" s="7"/>
      <c r="S5" s="7"/>
      <c r="T5" s="25"/>
      <c r="U5" s="40"/>
      <c r="V5" s="40"/>
      <c r="W5" s="40"/>
      <c r="X5" s="40"/>
      <c r="Y5" s="40"/>
    </row>
    <row r="6" ht="51.0" customHeight="1">
      <c r="A6" s="41" t="s">
        <v>17</v>
      </c>
      <c r="B6" s="44"/>
      <c r="C6" s="43"/>
      <c r="D6" s="41" t="s">
        <v>23</v>
      </c>
      <c r="E6" s="43"/>
      <c r="F6" s="36"/>
      <c r="G6" s="43"/>
      <c r="H6" s="36"/>
      <c r="I6" s="25"/>
      <c r="J6" s="45" t="s">
        <v>44</v>
      </c>
      <c r="K6" s="4"/>
      <c r="L6" s="4"/>
      <c r="M6" s="4"/>
      <c r="N6" s="4"/>
      <c r="O6" s="4"/>
      <c r="P6" s="4"/>
      <c r="Q6" s="5"/>
      <c r="R6" s="7"/>
      <c r="S6" s="7"/>
      <c r="T6" s="25"/>
      <c r="U6" s="40"/>
      <c r="V6" s="40"/>
      <c r="W6" s="40"/>
      <c r="X6" s="40"/>
      <c r="Y6" s="40"/>
    </row>
    <row r="7" ht="70.5" customHeight="1">
      <c r="A7" s="41" t="s">
        <v>18</v>
      </c>
      <c r="B7" s="42"/>
      <c r="C7" s="43"/>
      <c r="D7" s="41" t="s">
        <v>24</v>
      </c>
      <c r="E7" s="43"/>
      <c r="F7" s="36"/>
      <c r="G7" s="43"/>
      <c r="H7" s="36"/>
      <c r="I7" s="25"/>
      <c r="J7" s="37"/>
      <c r="K7" s="46" t="s">
        <v>45</v>
      </c>
      <c r="L7" s="45" t="s">
        <v>46</v>
      </c>
      <c r="M7" s="4"/>
      <c r="N7" s="4"/>
      <c r="O7" s="4"/>
      <c r="P7" s="4"/>
      <c r="Q7" s="5"/>
      <c r="R7" s="7"/>
      <c r="S7" s="7"/>
      <c r="T7" s="25"/>
      <c r="U7" s="40"/>
      <c r="V7" s="40"/>
      <c r="W7" s="40"/>
      <c r="X7" s="40"/>
      <c r="Y7" s="40"/>
    </row>
    <row r="8" ht="70.5" customHeight="1">
      <c r="A8" s="41" t="s">
        <v>19</v>
      </c>
      <c r="B8" s="42"/>
      <c r="C8" s="43"/>
      <c r="D8" s="41" t="s">
        <v>25</v>
      </c>
      <c r="E8" s="43"/>
      <c r="F8" s="36"/>
      <c r="G8" s="43"/>
      <c r="H8" s="36"/>
      <c r="I8" s="25"/>
      <c r="J8" s="37" t="s">
        <v>41</v>
      </c>
      <c r="K8" s="47"/>
      <c r="L8" s="38"/>
      <c r="M8" s="4"/>
      <c r="N8" s="4"/>
      <c r="O8" s="4"/>
      <c r="P8" s="4"/>
      <c r="Q8" s="5"/>
      <c r="R8" s="7"/>
      <c r="S8" s="7"/>
      <c r="T8" s="25"/>
      <c r="U8" s="40"/>
      <c r="V8" s="40"/>
      <c r="W8" s="40"/>
      <c r="X8" s="40"/>
      <c r="Y8" s="40"/>
    </row>
    <row r="9" ht="70.5" customHeight="1">
      <c r="A9" s="41" t="s">
        <v>20</v>
      </c>
      <c r="B9" s="42"/>
      <c r="C9" s="43"/>
      <c r="D9" s="41" t="s">
        <v>26</v>
      </c>
      <c r="E9" s="43"/>
      <c r="F9" s="36"/>
      <c r="G9" s="43"/>
      <c r="H9" s="36"/>
      <c r="I9" s="25"/>
      <c r="J9" s="37" t="s">
        <v>42</v>
      </c>
      <c r="K9" s="47"/>
      <c r="L9" s="38"/>
      <c r="M9" s="4"/>
      <c r="N9" s="4"/>
      <c r="O9" s="4"/>
      <c r="P9" s="4"/>
      <c r="Q9" s="5"/>
      <c r="R9" s="7"/>
      <c r="S9" s="7"/>
      <c r="T9" s="25"/>
      <c r="U9" s="25"/>
      <c r="V9" s="25"/>
      <c r="W9" s="25"/>
      <c r="X9" s="25"/>
      <c r="Y9" s="25"/>
    </row>
    <row r="10" ht="70.5" customHeight="1">
      <c r="A10" s="48"/>
      <c r="B10" s="48"/>
      <c r="C10" s="48"/>
      <c r="D10" s="48"/>
      <c r="E10" s="48"/>
      <c r="F10" s="48"/>
      <c r="G10" s="48"/>
      <c r="H10" s="48"/>
      <c r="I10" s="48"/>
      <c r="J10" s="37" t="s">
        <v>43</v>
      </c>
      <c r="K10" s="47"/>
      <c r="L10" s="38"/>
      <c r="M10" s="4"/>
      <c r="N10" s="4"/>
      <c r="O10" s="4"/>
      <c r="P10" s="4"/>
      <c r="Q10" s="5"/>
      <c r="R10" s="7"/>
      <c r="S10" s="7"/>
      <c r="T10" s="48"/>
      <c r="U10" s="48"/>
      <c r="V10" s="48"/>
      <c r="W10" s="48"/>
      <c r="X10" s="48"/>
      <c r="Y10" s="48"/>
    </row>
    <row r="11" ht="70.5" customHeight="1">
      <c r="A11" s="48"/>
      <c r="B11" s="48"/>
      <c r="C11" s="48"/>
      <c r="D11" s="48"/>
      <c r="E11" s="48"/>
      <c r="F11" s="48"/>
      <c r="G11" s="48"/>
      <c r="H11" s="48"/>
      <c r="I11" s="48"/>
      <c r="J11" s="7"/>
      <c r="K11" s="7"/>
      <c r="L11" s="7"/>
      <c r="M11" s="7"/>
      <c r="N11" s="7"/>
      <c r="O11" s="7"/>
      <c r="P11" s="7"/>
      <c r="Q11" s="7"/>
      <c r="R11" s="7"/>
      <c r="S11" s="7"/>
      <c r="T11" s="48"/>
      <c r="U11" s="48"/>
      <c r="V11" s="48"/>
      <c r="W11" s="48"/>
      <c r="X11" s="48"/>
      <c r="Y11" s="48"/>
    </row>
    <row r="12" ht="45.75" customHeight="1">
      <c r="A12" s="25"/>
      <c r="B12" s="25"/>
      <c r="C12" s="25"/>
      <c r="D12" s="25"/>
      <c r="E12" s="25"/>
      <c r="F12" s="25"/>
      <c r="G12" s="25"/>
      <c r="H12" s="25"/>
      <c r="I12" s="40"/>
      <c r="J12" s="23"/>
      <c r="K12" s="23"/>
      <c r="L12" s="23"/>
      <c r="M12" s="23"/>
      <c r="N12" s="23"/>
      <c r="O12" s="40"/>
      <c r="P12" s="40"/>
      <c r="Q12" s="40"/>
      <c r="R12" s="40"/>
      <c r="S12" s="40"/>
      <c r="T12" s="40"/>
      <c r="U12" s="40"/>
      <c r="V12" s="40"/>
      <c r="W12" s="40"/>
      <c r="X12" s="40"/>
      <c r="Y12" s="40"/>
    </row>
    <row r="13" ht="45.0" customHeight="1">
      <c r="A13" s="49" t="s">
        <v>47</v>
      </c>
      <c r="I13" s="40"/>
      <c r="J13" s="40"/>
      <c r="K13" s="40"/>
      <c r="L13" s="40"/>
      <c r="M13" s="25"/>
      <c r="N13" s="25"/>
      <c r="O13" s="25"/>
      <c r="P13" s="25"/>
      <c r="Q13" s="25"/>
      <c r="R13" s="25"/>
      <c r="S13" s="25"/>
      <c r="T13" s="25"/>
      <c r="U13" s="40"/>
      <c r="V13" s="40"/>
      <c r="W13" s="40"/>
      <c r="X13" s="40"/>
      <c r="Y13" s="40"/>
    </row>
    <row r="14" ht="30.75" customHeight="1">
      <c r="A14" s="50"/>
      <c r="B14" s="51" t="s">
        <v>48</v>
      </c>
      <c r="C14" s="51" t="s">
        <v>49</v>
      </c>
      <c r="D14" s="51" t="s">
        <v>50</v>
      </c>
      <c r="E14" s="26" t="s">
        <v>51</v>
      </c>
      <c r="F14" s="4"/>
      <c r="G14" s="4"/>
      <c r="H14" s="4"/>
      <c r="I14" s="40"/>
      <c r="J14" s="7"/>
      <c r="K14" s="7"/>
      <c r="L14" s="7"/>
      <c r="M14" s="7"/>
      <c r="N14" s="7"/>
      <c r="O14" s="7"/>
      <c r="P14" s="7"/>
      <c r="Q14" s="7"/>
      <c r="R14" s="25"/>
      <c r="S14" s="25"/>
      <c r="T14" s="25"/>
      <c r="U14" s="40"/>
      <c r="V14" s="40"/>
      <c r="W14" s="40"/>
      <c r="X14" s="40"/>
      <c r="Y14" s="40"/>
    </row>
    <row r="15" ht="49.5" customHeight="1">
      <c r="A15" s="52"/>
      <c r="B15" s="53"/>
      <c r="C15" s="54"/>
      <c r="D15" s="54"/>
      <c r="E15" s="55"/>
      <c r="F15" s="4"/>
      <c r="G15" s="4"/>
      <c r="H15" s="5"/>
      <c r="I15" s="40"/>
      <c r="J15" s="26" t="s">
        <v>52</v>
      </c>
      <c r="K15" s="4"/>
      <c r="L15" s="4"/>
      <c r="M15" s="4"/>
      <c r="N15" s="4"/>
      <c r="O15" s="4"/>
      <c r="P15" s="4"/>
      <c r="Q15" s="4"/>
      <c r="R15" s="7"/>
      <c r="S15" s="7"/>
      <c r="T15" s="7"/>
      <c r="U15" s="40"/>
      <c r="V15" s="40"/>
      <c r="W15" s="40"/>
      <c r="X15" s="40"/>
      <c r="Y15" s="40"/>
    </row>
    <row r="16" ht="36.0" customHeight="1">
      <c r="A16" s="56"/>
      <c r="B16" s="57" t="s">
        <v>53</v>
      </c>
      <c r="C16" s="57" t="s">
        <v>54</v>
      </c>
      <c r="D16" s="58" t="s">
        <v>55</v>
      </c>
      <c r="E16" s="5"/>
      <c r="F16" s="58" t="s">
        <v>56</v>
      </c>
      <c r="G16" s="4"/>
      <c r="H16" s="5"/>
      <c r="I16" s="40"/>
      <c r="J16" s="59"/>
      <c r="K16" s="26" t="s">
        <v>53</v>
      </c>
      <c r="L16" s="5"/>
      <c r="M16" s="26" t="s">
        <v>54</v>
      </c>
      <c r="N16" s="5"/>
      <c r="O16" s="26" t="s">
        <v>57</v>
      </c>
      <c r="P16" s="4"/>
      <c r="Q16" s="5"/>
      <c r="R16" s="7"/>
      <c r="S16" s="7"/>
      <c r="T16" s="7"/>
      <c r="U16" s="40"/>
      <c r="V16" s="40"/>
      <c r="W16" s="40"/>
      <c r="X16" s="40"/>
      <c r="Y16" s="40"/>
    </row>
    <row r="17" ht="66.75" customHeight="1">
      <c r="A17" s="60" t="s">
        <v>58</v>
      </c>
      <c r="B17" s="61"/>
      <c r="C17" s="62"/>
      <c r="D17" s="63"/>
      <c r="E17" s="5"/>
      <c r="F17" s="63"/>
      <c r="G17" s="4"/>
      <c r="H17" s="5"/>
      <c r="I17" s="40"/>
      <c r="J17" s="64" t="s">
        <v>58</v>
      </c>
      <c r="K17" s="65" t="s">
        <v>59</v>
      </c>
      <c r="L17" s="5"/>
      <c r="M17" s="65" t="s">
        <v>60</v>
      </c>
      <c r="N17" s="5"/>
      <c r="O17" s="65" t="s">
        <v>61</v>
      </c>
      <c r="P17" s="4"/>
      <c r="Q17" s="5"/>
      <c r="R17" s="7"/>
      <c r="S17" s="7"/>
      <c r="T17" s="7"/>
      <c r="U17" s="40"/>
      <c r="V17" s="40"/>
      <c r="W17" s="40"/>
      <c r="X17" s="40"/>
      <c r="Y17" s="40"/>
    </row>
    <row r="18" ht="66.75" customHeight="1">
      <c r="A18" s="60" t="s">
        <v>62</v>
      </c>
      <c r="B18" s="61"/>
      <c r="C18" s="62"/>
      <c r="D18" s="63"/>
      <c r="E18" s="5"/>
      <c r="F18" s="63"/>
      <c r="G18" s="4"/>
      <c r="H18" s="5"/>
      <c r="I18" s="40"/>
      <c r="J18" s="64" t="s">
        <v>62</v>
      </c>
      <c r="K18" s="65" t="s">
        <v>63</v>
      </c>
      <c r="L18" s="5"/>
      <c r="M18" s="65" t="s">
        <v>64</v>
      </c>
      <c r="N18" s="5"/>
      <c r="O18" s="65" t="s">
        <v>65</v>
      </c>
      <c r="P18" s="4"/>
      <c r="Q18" s="5"/>
      <c r="R18" s="7"/>
      <c r="S18" s="7"/>
      <c r="T18" s="7"/>
      <c r="U18" s="40"/>
      <c r="V18" s="40"/>
      <c r="W18" s="40"/>
      <c r="X18" s="40"/>
      <c r="Y18" s="40"/>
    </row>
    <row r="19" ht="66.75" customHeight="1">
      <c r="A19" s="60" t="s">
        <v>66</v>
      </c>
      <c r="B19" s="61"/>
      <c r="C19" s="62"/>
      <c r="D19" s="63"/>
      <c r="E19" s="5"/>
      <c r="F19" s="63"/>
      <c r="G19" s="4"/>
      <c r="H19" s="5"/>
      <c r="I19" s="40"/>
      <c r="J19" s="64" t="s">
        <v>66</v>
      </c>
      <c r="K19" s="65" t="s">
        <v>67</v>
      </c>
      <c r="L19" s="5"/>
      <c r="M19" s="65" t="s">
        <v>68</v>
      </c>
      <c r="N19" s="5"/>
      <c r="O19" s="65" t="s">
        <v>69</v>
      </c>
      <c r="P19" s="4"/>
      <c r="Q19" s="5"/>
      <c r="R19" s="7"/>
      <c r="S19" s="7"/>
      <c r="T19" s="7"/>
      <c r="U19" s="40"/>
      <c r="V19" s="40"/>
      <c r="W19" s="40"/>
      <c r="X19" s="40"/>
      <c r="Y19" s="40"/>
    </row>
    <row r="20" ht="66.75" customHeight="1">
      <c r="A20" s="60" t="s">
        <v>70</v>
      </c>
      <c r="B20" s="61"/>
      <c r="C20" s="62"/>
      <c r="D20" s="63"/>
      <c r="E20" s="5"/>
      <c r="F20" s="63"/>
      <c r="G20" s="4"/>
      <c r="H20" s="5"/>
      <c r="I20" s="40"/>
      <c r="J20" s="64" t="s">
        <v>70</v>
      </c>
      <c r="K20" s="65" t="s">
        <v>71</v>
      </c>
      <c r="L20" s="5"/>
      <c r="M20" s="65" t="s">
        <v>72</v>
      </c>
      <c r="N20" s="5"/>
      <c r="O20" s="65" t="s">
        <v>73</v>
      </c>
      <c r="P20" s="4"/>
      <c r="Q20" s="5"/>
      <c r="R20" s="7"/>
      <c r="S20" s="7"/>
      <c r="T20" s="7"/>
      <c r="U20" s="40"/>
      <c r="V20" s="40"/>
      <c r="W20" s="40"/>
      <c r="X20" s="40"/>
      <c r="Y20" s="40"/>
    </row>
    <row r="21" ht="66.75" customHeight="1">
      <c r="A21" s="60" t="s">
        <v>74</v>
      </c>
      <c r="B21" s="61"/>
      <c r="C21" s="62"/>
      <c r="D21" s="63"/>
      <c r="E21" s="5"/>
      <c r="F21" s="63"/>
      <c r="G21" s="4"/>
      <c r="H21" s="5"/>
      <c r="I21" s="40"/>
      <c r="J21" s="64" t="s">
        <v>74</v>
      </c>
      <c r="K21" s="65" t="s">
        <v>75</v>
      </c>
      <c r="L21" s="5"/>
      <c r="M21" s="66" t="s">
        <v>76</v>
      </c>
      <c r="N21" s="4"/>
      <c r="O21" s="4"/>
      <c r="P21" s="4"/>
      <c r="Q21" s="5"/>
      <c r="R21" s="7"/>
      <c r="S21" s="7"/>
      <c r="T21" s="7"/>
      <c r="U21" s="40"/>
      <c r="V21" s="40"/>
      <c r="W21" s="40"/>
      <c r="X21" s="40"/>
      <c r="Y21" s="40"/>
    </row>
    <row r="22" ht="66.75" customHeight="1">
      <c r="A22" s="60" t="s">
        <v>77</v>
      </c>
      <c r="B22" s="61"/>
      <c r="C22" s="62"/>
      <c r="D22" s="63"/>
      <c r="E22" s="5"/>
      <c r="F22" s="63"/>
      <c r="G22" s="4"/>
      <c r="H22" s="5"/>
      <c r="I22" s="40"/>
      <c r="J22" s="40"/>
      <c r="K22" s="40"/>
      <c r="L22" s="40"/>
      <c r="M22" s="40"/>
      <c r="N22" s="40"/>
      <c r="O22" s="40"/>
      <c r="P22" s="40"/>
      <c r="Q22" s="40"/>
      <c r="R22" s="40"/>
      <c r="S22" s="40"/>
      <c r="T22" s="40"/>
      <c r="U22" s="40"/>
      <c r="V22" s="40"/>
      <c r="W22" s="40"/>
      <c r="X22" s="40"/>
      <c r="Y22" s="40"/>
    </row>
    <row r="23" ht="66.75" customHeight="1">
      <c r="A23" s="60" t="s">
        <v>78</v>
      </c>
      <c r="B23" s="61"/>
      <c r="C23" s="62"/>
      <c r="D23" s="63"/>
      <c r="E23" s="5"/>
      <c r="F23" s="63"/>
      <c r="G23" s="4"/>
      <c r="H23" s="5"/>
      <c r="I23" s="40"/>
      <c r="J23" s="40"/>
      <c r="K23" s="40"/>
      <c r="L23" s="40"/>
      <c r="M23" s="40"/>
      <c r="N23" s="40"/>
      <c r="O23" s="40"/>
      <c r="P23" s="40"/>
      <c r="Q23" s="40"/>
      <c r="R23" s="40"/>
      <c r="S23" s="40"/>
      <c r="T23" s="40"/>
      <c r="U23" s="40"/>
      <c r="V23" s="40"/>
      <c r="W23" s="40"/>
      <c r="X23" s="40"/>
      <c r="Y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sheetData>
  <mergeCells count="62">
    <mergeCell ref="K20:L20"/>
    <mergeCell ref="K21:L21"/>
    <mergeCell ref="K18:L18"/>
    <mergeCell ref="M18:N18"/>
    <mergeCell ref="K19:L19"/>
    <mergeCell ref="M19:N19"/>
    <mergeCell ref="O19:Q19"/>
    <mergeCell ref="M20:N20"/>
    <mergeCell ref="O20:Q20"/>
    <mergeCell ref="M21:Q21"/>
    <mergeCell ref="K5:P5"/>
    <mergeCell ref="J6:Q6"/>
    <mergeCell ref="L7:Q7"/>
    <mergeCell ref="L8:Q8"/>
    <mergeCell ref="L9:Q9"/>
    <mergeCell ref="L10:Q10"/>
    <mergeCell ref="J15:Q15"/>
    <mergeCell ref="A2:H2"/>
    <mergeCell ref="J2:P2"/>
    <mergeCell ref="E3:F3"/>
    <mergeCell ref="G3:H3"/>
    <mergeCell ref="K3:P3"/>
    <mergeCell ref="G4:H4"/>
    <mergeCell ref="K4:P4"/>
    <mergeCell ref="E4:F4"/>
    <mergeCell ref="E5:F5"/>
    <mergeCell ref="G5:H5"/>
    <mergeCell ref="E6:F6"/>
    <mergeCell ref="G6:H6"/>
    <mergeCell ref="E7:F7"/>
    <mergeCell ref="G7:H7"/>
    <mergeCell ref="E15:H15"/>
    <mergeCell ref="D16:E16"/>
    <mergeCell ref="F16:H16"/>
    <mergeCell ref="K16:L16"/>
    <mergeCell ref="M16:N16"/>
    <mergeCell ref="O16:Q16"/>
    <mergeCell ref="E8:F8"/>
    <mergeCell ref="G8:H8"/>
    <mergeCell ref="E9:F9"/>
    <mergeCell ref="G9:H9"/>
    <mergeCell ref="A13:H13"/>
    <mergeCell ref="A14:A16"/>
    <mergeCell ref="E14:H14"/>
    <mergeCell ref="D17:E17"/>
    <mergeCell ref="F17:H17"/>
    <mergeCell ref="K17:L17"/>
    <mergeCell ref="M17:N17"/>
    <mergeCell ref="O17:Q17"/>
    <mergeCell ref="F18:H18"/>
    <mergeCell ref="O18:Q18"/>
    <mergeCell ref="D22:E22"/>
    <mergeCell ref="F22:H22"/>
    <mergeCell ref="D23:E23"/>
    <mergeCell ref="F23:H23"/>
    <mergeCell ref="D18:E18"/>
    <mergeCell ref="D19:E19"/>
    <mergeCell ref="F19:H19"/>
    <mergeCell ref="D20:E20"/>
    <mergeCell ref="F20:H20"/>
    <mergeCell ref="D21:E21"/>
    <mergeCell ref="F21:H21"/>
  </mergeCells>
  <dataValidations>
    <dataValidation type="list" allowBlank="1" showErrorMessage="1" sqref="D15">
      <formula1>"% Off For Life,% Off For First Month,Free Trial,Free Trial &amp; % Off,Challenge - Low Ticket,Challenge - Mid Ticket"</formula1>
    </dataValidation>
    <dataValidation type="custom" allowBlank="1" showDropDown="1" sqref="B15:C15">
      <formula1>OR(NOT(ISERROR(DATEVALUE(B15))), AND(ISNUMBER(B15), LEFT(CELL("format", B15))="D"))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25"/>
    <col customWidth="1" min="5" max="5" width="16.5"/>
    <col customWidth="1" min="6" max="6" width="15.0"/>
    <col customWidth="1" min="7" max="7" width="19.5"/>
    <col customWidth="1" min="8" max="8" width="15.88"/>
    <col customWidth="1" min="9" max="9" width="19.63"/>
    <col customWidth="1" min="10" max="10" width="24.88"/>
    <col customWidth="1" min="11" max="11" width="19.25"/>
    <col customWidth="1" min="15" max="15" width="19.38"/>
    <col customWidth="1" min="16" max="16" width="25.63"/>
    <col customWidth="1" min="17" max="17" width="19.88"/>
    <col customWidth="1" min="18" max="18" width="13.38"/>
  </cols>
  <sheetData>
    <row r="1" ht="72.0" customHeight="1">
      <c r="A1" s="67"/>
      <c r="D1" s="68"/>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row>
    <row r="2">
      <c r="D2" s="69" t="s">
        <v>79</v>
      </c>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row>
    <row r="3">
      <c r="D3" s="67"/>
      <c r="E3" s="67"/>
      <c r="F3" s="67"/>
      <c r="G3" s="67"/>
      <c r="H3" s="67"/>
      <c r="I3" s="67"/>
      <c r="J3" s="67"/>
      <c r="K3" s="67"/>
      <c r="L3" s="67"/>
      <c r="M3" s="70"/>
      <c r="N3" s="70"/>
      <c r="O3" s="70"/>
      <c r="P3" s="70"/>
      <c r="Q3" s="70"/>
      <c r="R3" s="70"/>
      <c r="S3" s="70"/>
      <c r="T3" s="70"/>
      <c r="U3" s="70"/>
      <c r="V3" s="70"/>
      <c r="W3" s="70"/>
      <c r="X3" s="67"/>
      <c r="Y3" s="67"/>
      <c r="Z3" s="67"/>
      <c r="AA3" s="67"/>
      <c r="AB3" s="67"/>
      <c r="AC3" s="67"/>
      <c r="AD3" s="67"/>
      <c r="AE3" s="67"/>
      <c r="AF3" s="67"/>
      <c r="AG3" s="67"/>
      <c r="AH3" s="67"/>
      <c r="AI3" s="67"/>
      <c r="AJ3" s="67"/>
      <c r="AK3" s="67"/>
    </row>
    <row r="4" ht="44.25" customHeight="1">
      <c r="A4" s="71" t="s">
        <v>80</v>
      </c>
      <c r="B4" s="11"/>
      <c r="C4" s="11"/>
      <c r="D4" s="11"/>
      <c r="E4" s="11"/>
      <c r="F4" s="11"/>
      <c r="G4" s="11"/>
      <c r="H4" s="11"/>
      <c r="I4" s="11"/>
      <c r="J4" s="11"/>
      <c r="K4" s="11"/>
      <c r="L4" s="72"/>
      <c r="M4" s="71" t="s">
        <v>81</v>
      </c>
      <c r="N4" s="11"/>
      <c r="O4" s="11"/>
      <c r="P4" s="11"/>
      <c r="Q4" s="11"/>
      <c r="R4" s="11"/>
      <c r="S4" s="11"/>
      <c r="T4" s="11"/>
      <c r="U4" s="11"/>
      <c r="V4" s="73"/>
      <c r="W4" s="74"/>
      <c r="X4" s="67"/>
      <c r="Y4" s="67"/>
      <c r="Z4" s="67"/>
      <c r="AA4" s="67"/>
      <c r="AB4" s="67"/>
      <c r="AC4" s="67"/>
      <c r="AD4" s="67"/>
      <c r="AE4" s="67"/>
      <c r="AF4" s="67"/>
      <c r="AG4" s="67"/>
      <c r="AH4" s="67"/>
      <c r="AI4" s="67"/>
      <c r="AJ4" s="67"/>
      <c r="AK4" s="67"/>
    </row>
    <row r="5" ht="51.75" customHeight="1">
      <c r="A5" s="75" t="s">
        <v>82</v>
      </c>
      <c r="B5" s="76" t="s">
        <v>83</v>
      </c>
      <c r="C5" s="76" t="s">
        <v>84</v>
      </c>
      <c r="D5" s="76" t="s">
        <v>85</v>
      </c>
      <c r="E5" s="76" t="s">
        <v>86</v>
      </c>
      <c r="F5" s="76" t="s">
        <v>87</v>
      </c>
      <c r="G5" s="76" t="s">
        <v>88</v>
      </c>
      <c r="H5" s="76" t="s">
        <v>89</v>
      </c>
      <c r="I5" s="76" t="s">
        <v>90</v>
      </c>
      <c r="J5" s="76" t="s">
        <v>91</v>
      </c>
      <c r="K5" s="76" t="s">
        <v>92</v>
      </c>
      <c r="L5" s="72"/>
      <c r="M5" s="71" t="s">
        <v>93</v>
      </c>
      <c r="N5" s="11"/>
      <c r="O5" s="36"/>
      <c r="P5" s="76" t="s">
        <v>94</v>
      </c>
      <c r="Q5" s="71" t="s">
        <v>95</v>
      </c>
      <c r="R5" s="11"/>
      <c r="S5" s="11"/>
      <c r="T5" s="11"/>
      <c r="U5" s="36"/>
      <c r="V5" s="77" t="s">
        <v>96</v>
      </c>
      <c r="W5" s="36"/>
      <c r="X5" s="67"/>
      <c r="Y5" s="67"/>
      <c r="Z5" s="67"/>
      <c r="AA5" s="67"/>
      <c r="AB5" s="67"/>
      <c r="AC5" s="67"/>
      <c r="AD5" s="67"/>
      <c r="AE5" s="67"/>
      <c r="AF5" s="67"/>
      <c r="AG5" s="67"/>
      <c r="AH5" s="67"/>
      <c r="AI5" s="67"/>
      <c r="AJ5" s="67"/>
      <c r="AK5" s="67"/>
    </row>
    <row r="6" ht="36.0" customHeight="1">
      <c r="A6" s="75" t="s">
        <v>97</v>
      </c>
      <c r="B6" s="78">
        <v>45373.0</v>
      </c>
      <c r="C6" s="79">
        <v>15976.0</v>
      </c>
      <c r="D6" s="80"/>
      <c r="E6" s="19">
        <v>382.0</v>
      </c>
      <c r="F6" s="79">
        <v>12064.0</v>
      </c>
      <c r="G6" s="19" t="s">
        <v>98</v>
      </c>
      <c r="H6" s="19" t="s">
        <v>99</v>
      </c>
      <c r="I6" s="19" t="s">
        <v>99</v>
      </c>
      <c r="J6" s="19" t="s">
        <v>100</v>
      </c>
      <c r="K6" s="19" t="s">
        <v>101</v>
      </c>
      <c r="L6" s="72"/>
      <c r="M6" s="81" t="s">
        <v>102</v>
      </c>
      <c r="N6" s="11"/>
      <c r="O6" s="36"/>
      <c r="P6" s="82"/>
      <c r="Q6" s="83" t="s">
        <v>103</v>
      </c>
      <c r="R6" s="11"/>
      <c r="S6" s="11"/>
      <c r="T6" s="11"/>
      <c r="U6" s="36"/>
      <c r="V6" s="67"/>
      <c r="W6" s="84"/>
      <c r="X6" s="67"/>
      <c r="Y6" s="67"/>
      <c r="Z6" s="67"/>
      <c r="AA6" s="67"/>
      <c r="AB6" s="67"/>
      <c r="AC6" s="67"/>
      <c r="AD6" s="67"/>
      <c r="AE6" s="67"/>
      <c r="AF6" s="67"/>
      <c r="AG6" s="67"/>
      <c r="AH6" s="67"/>
      <c r="AI6" s="67"/>
      <c r="AJ6" s="67"/>
      <c r="AK6" s="67"/>
    </row>
    <row r="7" ht="36.0" customHeight="1">
      <c r="A7" s="75" t="s">
        <v>104</v>
      </c>
      <c r="B7" s="85"/>
      <c r="C7" s="86"/>
      <c r="D7" s="85"/>
      <c r="E7" s="85"/>
      <c r="F7" s="85"/>
      <c r="G7" s="85"/>
      <c r="H7" s="85"/>
      <c r="I7" s="85"/>
      <c r="J7" s="85"/>
      <c r="K7" s="85"/>
      <c r="L7" s="72"/>
      <c r="M7" s="81" t="s">
        <v>105</v>
      </c>
      <c r="N7" s="11"/>
      <c r="O7" s="36"/>
      <c r="P7" s="87" t="s">
        <v>106</v>
      </c>
      <c r="Q7" s="83" t="s">
        <v>107</v>
      </c>
      <c r="R7" s="11"/>
      <c r="S7" s="11"/>
      <c r="T7" s="11"/>
      <c r="U7" s="36"/>
      <c r="W7" s="84"/>
      <c r="X7" s="67"/>
      <c r="Y7" s="67"/>
      <c r="Z7" s="67"/>
      <c r="AA7" s="67"/>
      <c r="AB7" s="67"/>
      <c r="AC7" s="67"/>
      <c r="AD7" s="67"/>
      <c r="AE7" s="67"/>
      <c r="AF7" s="67"/>
      <c r="AG7" s="67"/>
      <c r="AH7" s="67"/>
      <c r="AI7" s="67"/>
      <c r="AJ7" s="67"/>
      <c r="AK7" s="67"/>
    </row>
    <row r="8" ht="36.0" customHeight="1">
      <c r="A8" s="75" t="s">
        <v>108</v>
      </c>
      <c r="B8" s="85"/>
      <c r="C8" s="85"/>
      <c r="D8" s="19">
        <f t="shared" ref="D8:D14" si="1">C8-C7</f>
        <v>0</v>
      </c>
      <c r="E8" s="85"/>
      <c r="F8" s="85"/>
      <c r="G8" s="85"/>
      <c r="H8" s="85"/>
      <c r="I8" s="85"/>
      <c r="J8" s="85"/>
      <c r="K8" s="85"/>
      <c r="L8" s="72"/>
      <c r="M8" s="81" t="s">
        <v>109</v>
      </c>
      <c r="N8" s="11"/>
      <c r="O8" s="36"/>
      <c r="P8" s="87" t="s">
        <v>106</v>
      </c>
      <c r="Q8" s="83" t="s">
        <v>110</v>
      </c>
      <c r="R8" s="11"/>
      <c r="S8" s="11"/>
      <c r="T8" s="11"/>
      <c r="U8" s="36"/>
      <c r="V8" s="11"/>
      <c r="W8" s="36"/>
      <c r="X8" s="67"/>
      <c r="Y8" s="67"/>
      <c r="Z8" s="67"/>
      <c r="AA8" s="67"/>
      <c r="AB8" s="67"/>
      <c r="AC8" s="67"/>
      <c r="AD8" s="67"/>
      <c r="AE8" s="67"/>
      <c r="AF8" s="67"/>
      <c r="AG8" s="67"/>
      <c r="AH8" s="67"/>
      <c r="AI8" s="67"/>
      <c r="AJ8" s="67"/>
      <c r="AK8" s="67"/>
    </row>
    <row r="9" ht="36.0" customHeight="1">
      <c r="A9" s="75" t="s">
        <v>111</v>
      </c>
      <c r="B9" s="85"/>
      <c r="C9" s="85"/>
      <c r="D9" s="19">
        <f t="shared" si="1"/>
        <v>0</v>
      </c>
      <c r="E9" s="85"/>
      <c r="F9" s="85"/>
      <c r="G9" s="85"/>
      <c r="H9" s="85"/>
      <c r="I9" s="85"/>
      <c r="J9" s="85"/>
      <c r="K9" s="85"/>
      <c r="L9" s="72"/>
      <c r="M9" s="81" t="s">
        <v>112</v>
      </c>
      <c r="N9" s="11"/>
      <c r="O9" s="36"/>
      <c r="P9" s="88" t="s">
        <v>113</v>
      </c>
      <c r="Q9" s="83" t="s">
        <v>114</v>
      </c>
      <c r="R9" s="11"/>
      <c r="S9" s="11"/>
      <c r="T9" s="11"/>
      <c r="U9" s="36"/>
      <c r="V9" s="67"/>
      <c r="W9" s="84"/>
      <c r="X9" s="67"/>
      <c r="Y9" s="67"/>
      <c r="Z9" s="67"/>
      <c r="AA9" s="67"/>
      <c r="AB9" s="67"/>
      <c r="AC9" s="67"/>
      <c r="AD9" s="67"/>
      <c r="AE9" s="67"/>
      <c r="AF9" s="67"/>
      <c r="AG9" s="67"/>
      <c r="AH9" s="67"/>
      <c r="AI9" s="67"/>
      <c r="AJ9" s="67"/>
      <c r="AK9" s="67"/>
    </row>
    <row r="10" ht="36.0" customHeight="1">
      <c r="A10" s="75" t="s">
        <v>115</v>
      </c>
      <c r="B10" s="85"/>
      <c r="C10" s="85"/>
      <c r="D10" s="19">
        <f t="shared" si="1"/>
        <v>0</v>
      </c>
      <c r="E10" s="85"/>
      <c r="F10" s="85"/>
      <c r="G10" s="85"/>
      <c r="H10" s="85"/>
      <c r="I10" s="85"/>
      <c r="J10" s="85"/>
      <c r="K10" s="85"/>
      <c r="L10" s="72"/>
      <c r="M10" s="81" t="s">
        <v>116</v>
      </c>
      <c r="N10" s="11"/>
      <c r="O10" s="36"/>
      <c r="P10" s="89"/>
      <c r="Q10" s="83" t="s">
        <v>117</v>
      </c>
      <c r="R10" s="11"/>
      <c r="S10" s="11"/>
      <c r="T10" s="11"/>
      <c r="U10" s="36"/>
      <c r="W10" s="84"/>
      <c r="X10" s="67"/>
      <c r="Y10" s="67"/>
      <c r="Z10" s="67"/>
      <c r="AA10" s="67"/>
      <c r="AB10" s="67"/>
      <c r="AC10" s="67"/>
      <c r="AD10" s="67"/>
      <c r="AE10" s="67"/>
      <c r="AF10" s="67"/>
      <c r="AG10" s="67"/>
      <c r="AH10" s="67"/>
      <c r="AI10" s="67"/>
      <c r="AJ10" s="67"/>
      <c r="AK10" s="67"/>
    </row>
    <row r="11" ht="46.5" customHeight="1">
      <c r="A11" s="75" t="s">
        <v>118</v>
      </c>
      <c r="B11" s="85"/>
      <c r="C11" s="85"/>
      <c r="D11" s="19">
        <f t="shared" si="1"/>
        <v>0</v>
      </c>
      <c r="E11" s="85"/>
      <c r="F11" s="85"/>
      <c r="G11" s="85"/>
      <c r="H11" s="85"/>
      <c r="I11" s="85"/>
      <c r="J11" s="85"/>
      <c r="K11" s="85"/>
      <c r="L11" s="72"/>
      <c r="M11" s="81" t="s">
        <v>119</v>
      </c>
      <c r="N11" s="11"/>
      <c r="O11" s="36"/>
      <c r="P11" s="88" t="s">
        <v>106</v>
      </c>
      <c r="Q11" s="83" t="s">
        <v>120</v>
      </c>
      <c r="R11" s="11"/>
      <c r="S11" s="11"/>
      <c r="T11" s="11"/>
      <c r="U11" s="36"/>
      <c r="V11" s="11"/>
      <c r="W11" s="36"/>
      <c r="X11" s="67"/>
      <c r="Y11" s="67"/>
      <c r="Z11" s="67"/>
      <c r="AA11" s="67"/>
      <c r="AB11" s="67"/>
      <c r="AC11" s="67"/>
      <c r="AD11" s="67"/>
      <c r="AE11" s="67"/>
      <c r="AF11" s="67"/>
      <c r="AG11" s="67"/>
      <c r="AH11" s="67"/>
      <c r="AI11" s="67"/>
      <c r="AJ11" s="67"/>
      <c r="AK11" s="67"/>
    </row>
    <row r="12" ht="36.0" customHeight="1">
      <c r="A12" s="75" t="s">
        <v>121</v>
      </c>
      <c r="B12" s="85"/>
      <c r="C12" s="85"/>
      <c r="D12" s="19">
        <f t="shared" si="1"/>
        <v>0</v>
      </c>
      <c r="E12" s="85"/>
      <c r="F12" s="85"/>
      <c r="G12" s="85"/>
      <c r="H12" s="85"/>
      <c r="I12" s="85"/>
      <c r="J12" s="85"/>
      <c r="K12" s="85"/>
      <c r="L12" s="72"/>
      <c r="M12" s="81" t="s">
        <v>122</v>
      </c>
      <c r="N12" s="11"/>
      <c r="O12" s="36"/>
      <c r="P12" s="88" t="s">
        <v>106</v>
      </c>
      <c r="Q12" s="83" t="s">
        <v>123</v>
      </c>
      <c r="R12" s="11"/>
      <c r="S12" s="11"/>
      <c r="T12" s="11"/>
      <c r="U12" s="36"/>
      <c r="V12" s="67"/>
      <c r="W12" s="84"/>
      <c r="X12" s="67"/>
      <c r="Y12" s="67"/>
      <c r="Z12" s="67"/>
      <c r="AA12" s="67"/>
      <c r="AB12" s="67"/>
      <c r="AC12" s="67"/>
      <c r="AD12" s="67"/>
      <c r="AE12" s="67"/>
      <c r="AF12" s="67"/>
      <c r="AG12" s="67"/>
      <c r="AH12" s="67"/>
      <c r="AI12" s="67"/>
      <c r="AJ12" s="67"/>
      <c r="AK12" s="67"/>
    </row>
    <row r="13" ht="36.0" customHeight="1">
      <c r="A13" s="75" t="s">
        <v>124</v>
      </c>
      <c r="B13" s="85"/>
      <c r="C13" s="85"/>
      <c r="D13" s="19">
        <f t="shared" si="1"/>
        <v>0</v>
      </c>
      <c r="E13" s="85"/>
      <c r="F13" s="85"/>
      <c r="G13" s="85"/>
      <c r="H13" s="85"/>
      <c r="I13" s="85"/>
      <c r="J13" s="85"/>
      <c r="K13" s="85"/>
      <c r="L13" s="72"/>
      <c r="M13" s="81" t="s">
        <v>125</v>
      </c>
      <c r="N13" s="11"/>
      <c r="O13" s="36"/>
      <c r="P13" s="88" t="s">
        <v>106</v>
      </c>
      <c r="Q13" s="90" t="s">
        <v>126</v>
      </c>
      <c r="U13" s="84"/>
      <c r="W13" s="84"/>
      <c r="X13" s="67"/>
      <c r="Y13" s="67"/>
      <c r="Z13" s="67"/>
      <c r="AA13" s="67"/>
      <c r="AB13" s="67"/>
      <c r="AC13" s="67"/>
      <c r="AD13" s="67"/>
      <c r="AE13" s="67"/>
      <c r="AF13" s="67"/>
      <c r="AG13" s="67"/>
      <c r="AH13" s="67"/>
      <c r="AI13" s="67"/>
      <c r="AJ13" s="67"/>
      <c r="AK13" s="67"/>
    </row>
    <row r="14" ht="64.5" customHeight="1">
      <c r="A14" s="75" t="s">
        <v>127</v>
      </c>
      <c r="B14" s="85"/>
      <c r="C14" s="85"/>
      <c r="D14" s="19">
        <f t="shared" si="1"/>
        <v>0</v>
      </c>
      <c r="E14" s="85"/>
      <c r="F14" s="85"/>
      <c r="G14" s="85"/>
      <c r="H14" s="85"/>
      <c r="I14" s="85"/>
      <c r="J14" s="85"/>
      <c r="K14" s="85"/>
      <c r="L14" s="72"/>
      <c r="M14" s="81" t="s">
        <v>128</v>
      </c>
      <c r="N14" s="11"/>
      <c r="O14" s="36"/>
      <c r="P14" s="89"/>
      <c r="Q14" s="11"/>
      <c r="R14" s="11"/>
      <c r="S14" s="11"/>
      <c r="T14" s="11"/>
      <c r="U14" s="36"/>
      <c r="V14" s="11"/>
      <c r="W14" s="36"/>
      <c r="X14" s="67"/>
      <c r="Y14" s="67"/>
      <c r="Z14" s="67"/>
      <c r="AA14" s="67"/>
      <c r="AB14" s="67"/>
      <c r="AC14" s="67"/>
      <c r="AD14" s="67"/>
      <c r="AE14" s="67"/>
      <c r="AF14" s="67"/>
      <c r="AG14" s="67"/>
      <c r="AH14" s="67"/>
      <c r="AI14" s="67"/>
      <c r="AJ14" s="67"/>
      <c r="AK14" s="67"/>
    </row>
    <row r="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row>
    <row r="1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row>
    <row r="18" ht="18.0" customHeight="1">
      <c r="A18" s="91" t="s">
        <v>129</v>
      </c>
      <c r="L18" s="67"/>
      <c r="M18" s="91" t="s">
        <v>130</v>
      </c>
      <c r="W18" s="67"/>
      <c r="X18" s="67"/>
      <c r="Y18" s="67"/>
      <c r="Z18" s="67"/>
      <c r="AA18" s="67"/>
      <c r="AB18" s="67"/>
      <c r="AC18" s="67"/>
      <c r="AD18" s="67"/>
      <c r="AE18" s="67"/>
      <c r="AF18" s="67"/>
      <c r="AG18" s="67"/>
      <c r="AH18" s="67"/>
      <c r="AI18" s="67"/>
      <c r="AJ18" s="67"/>
      <c r="AK18" s="67"/>
    </row>
    <row r="19" ht="18.0" customHeight="1">
      <c r="A19" s="11"/>
      <c r="B19" s="11"/>
      <c r="C19" s="11"/>
      <c r="D19" s="11"/>
      <c r="E19" s="11"/>
      <c r="F19" s="11"/>
      <c r="G19" s="11"/>
      <c r="H19" s="11"/>
      <c r="I19" s="11"/>
      <c r="J19" s="11"/>
      <c r="K19" s="11"/>
      <c r="L19" s="67"/>
      <c r="M19" s="11"/>
      <c r="N19" s="11"/>
      <c r="O19" s="11"/>
      <c r="P19" s="11"/>
      <c r="Q19" s="11"/>
      <c r="R19" s="11"/>
      <c r="S19" s="11"/>
      <c r="T19" s="11"/>
      <c r="U19" s="11"/>
      <c r="V19" s="11"/>
      <c r="W19" s="67"/>
      <c r="X19" s="67"/>
      <c r="Y19" s="67"/>
      <c r="Z19" s="67"/>
      <c r="AA19" s="67"/>
      <c r="AB19" s="67"/>
      <c r="AC19" s="67"/>
      <c r="AD19" s="67"/>
      <c r="AE19" s="67"/>
      <c r="AF19" s="67"/>
      <c r="AG19" s="67"/>
      <c r="AH19" s="67"/>
      <c r="AI19" s="67"/>
      <c r="AJ19" s="67"/>
      <c r="AK19" s="67"/>
    </row>
    <row r="20" ht="45.75" customHeight="1">
      <c r="A20" s="92"/>
      <c r="B20" s="93" t="s">
        <v>131</v>
      </c>
      <c r="C20" s="76" t="s">
        <v>132</v>
      </c>
      <c r="D20" s="94" t="s">
        <v>53</v>
      </c>
      <c r="E20" s="11"/>
      <c r="F20" s="11"/>
      <c r="G20" s="36"/>
      <c r="H20" s="94" t="s">
        <v>54</v>
      </c>
      <c r="I20" s="11"/>
      <c r="J20" s="11"/>
      <c r="K20" s="36"/>
      <c r="L20" s="72"/>
      <c r="M20" s="80"/>
      <c r="N20" s="93" t="s">
        <v>131</v>
      </c>
      <c r="O20" s="76" t="s">
        <v>132</v>
      </c>
      <c r="P20" s="94" t="s">
        <v>53</v>
      </c>
      <c r="Q20" s="11"/>
      <c r="R20" s="36"/>
      <c r="S20" s="94" t="s">
        <v>54</v>
      </c>
      <c r="T20" s="11"/>
      <c r="U20" s="11"/>
      <c r="V20" s="36"/>
      <c r="W20" s="67"/>
      <c r="X20" s="67"/>
      <c r="Y20" s="67"/>
      <c r="Z20" s="67"/>
      <c r="AA20" s="67"/>
      <c r="AB20" s="67"/>
      <c r="AC20" s="67"/>
      <c r="AD20" s="67"/>
      <c r="AE20" s="67"/>
      <c r="AF20" s="67"/>
      <c r="AG20" s="67"/>
      <c r="AH20" s="67"/>
      <c r="AI20" s="67"/>
      <c r="AJ20" s="67"/>
      <c r="AK20" s="67"/>
    </row>
    <row r="21" ht="69.0" customHeight="1">
      <c r="A21" s="15" t="s">
        <v>58</v>
      </c>
      <c r="B21" s="95" t="s">
        <v>133</v>
      </c>
      <c r="C21" s="96" t="s">
        <v>134</v>
      </c>
      <c r="D21" s="97" t="s">
        <v>135</v>
      </c>
      <c r="E21" s="11"/>
      <c r="F21" s="11"/>
      <c r="G21" s="36"/>
      <c r="H21" s="97" t="s">
        <v>136</v>
      </c>
      <c r="I21" s="11"/>
      <c r="J21" s="11"/>
      <c r="K21" s="36"/>
      <c r="L21" s="72"/>
      <c r="M21" s="13" t="s">
        <v>58</v>
      </c>
      <c r="N21" s="98" t="s">
        <v>133</v>
      </c>
      <c r="O21" s="99" t="s">
        <v>134</v>
      </c>
      <c r="P21" s="100" t="s">
        <v>137</v>
      </c>
      <c r="Q21" s="11"/>
      <c r="R21" s="36"/>
      <c r="S21" s="101" t="s">
        <v>64</v>
      </c>
      <c r="T21" s="11"/>
      <c r="U21" s="11"/>
      <c r="V21" s="36"/>
      <c r="W21" s="67"/>
      <c r="X21" s="67"/>
      <c r="Y21" s="67"/>
      <c r="Z21" s="67"/>
      <c r="AA21" s="67"/>
      <c r="AB21" s="67"/>
      <c r="AC21" s="67"/>
      <c r="AD21" s="67"/>
      <c r="AE21" s="67"/>
      <c r="AF21" s="67"/>
      <c r="AG21" s="67"/>
      <c r="AH21" s="67"/>
      <c r="AI21" s="67"/>
      <c r="AJ21" s="67"/>
      <c r="AK21" s="67"/>
    </row>
    <row r="22" ht="69.0" customHeight="1">
      <c r="A22" s="15" t="s">
        <v>62</v>
      </c>
      <c r="B22" s="98" t="s">
        <v>138</v>
      </c>
      <c r="C22" s="96" t="s">
        <v>134</v>
      </c>
      <c r="D22" s="97" t="s">
        <v>139</v>
      </c>
      <c r="E22" s="11"/>
      <c r="F22" s="11"/>
      <c r="G22" s="36"/>
      <c r="H22" s="97" t="s">
        <v>60</v>
      </c>
      <c r="I22" s="11"/>
      <c r="J22" s="11"/>
      <c r="K22" s="36"/>
      <c r="L22" s="72"/>
      <c r="M22" s="13" t="s">
        <v>62</v>
      </c>
      <c r="N22" s="98" t="s">
        <v>138</v>
      </c>
      <c r="O22" s="99" t="s">
        <v>134</v>
      </c>
      <c r="P22" s="101" t="s">
        <v>63</v>
      </c>
      <c r="Q22" s="11"/>
      <c r="R22" s="36"/>
      <c r="S22" s="101" t="s">
        <v>60</v>
      </c>
      <c r="T22" s="11"/>
      <c r="U22" s="11"/>
      <c r="V22" s="36"/>
      <c r="W22" s="67"/>
      <c r="X22" s="67"/>
      <c r="Y22" s="67"/>
      <c r="Z22" s="67"/>
      <c r="AA22" s="67"/>
      <c r="AB22" s="67"/>
      <c r="AC22" s="67"/>
      <c r="AD22" s="67"/>
      <c r="AE22" s="67"/>
      <c r="AF22" s="67"/>
      <c r="AG22" s="67"/>
      <c r="AH22" s="67"/>
      <c r="AI22" s="67"/>
      <c r="AJ22" s="67"/>
      <c r="AK22" s="67"/>
    </row>
    <row r="23" ht="69.0" customHeight="1">
      <c r="A23" s="15" t="s">
        <v>66</v>
      </c>
      <c r="B23" s="98" t="s">
        <v>133</v>
      </c>
      <c r="C23" s="96" t="s">
        <v>140</v>
      </c>
      <c r="D23" s="97" t="s">
        <v>141</v>
      </c>
      <c r="E23" s="11"/>
      <c r="F23" s="11"/>
      <c r="G23" s="36"/>
      <c r="H23" s="97" t="s">
        <v>142</v>
      </c>
      <c r="I23" s="11"/>
      <c r="J23" s="11"/>
      <c r="K23" s="36"/>
      <c r="L23" s="72"/>
      <c r="M23" s="13" t="s">
        <v>66</v>
      </c>
      <c r="N23" s="98" t="s">
        <v>133</v>
      </c>
      <c r="O23" s="99" t="s">
        <v>143</v>
      </c>
      <c r="P23" s="101" t="s">
        <v>67</v>
      </c>
      <c r="Q23" s="11"/>
      <c r="R23" s="36"/>
      <c r="S23" s="101" t="s">
        <v>68</v>
      </c>
      <c r="T23" s="11"/>
      <c r="U23" s="11"/>
      <c r="V23" s="36"/>
      <c r="W23" s="67"/>
      <c r="X23" s="67"/>
      <c r="Y23" s="67"/>
      <c r="Z23" s="67"/>
      <c r="AA23" s="67"/>
      <c r="AB23" s="67"/>
      <c r="AC23" s="67"/>
      <c r="AD23" s="67"/>
      <c r="AE23" s="67"/>
      <c r="AF23" s="67"/>
      <c r="AG23" s="67"/>
      <c r="AH23" s="67"/>
      <c r="AI23" s="67"/>
      <c r="AJ23" s="67"/>
      <c r="AK23" s="67"/>
    </row>
    <row r="24" ht="69.0" customHeight="1">
      <c r="A24" s="15" t="s">
        <v>70</v>
      </c>
      <c r="B24" s="98" t="s">
        <v>138</v>
      </c>
      <c r="C24" s="96" t="s">
        <v>143</v>
      </c>
      <c r="D24" s="97" t="s">
        <v>144</v>
      </c>
      <c r="E24" s="11"/>
      <c r="F24" s="11"/>
      <c r="G24" s="36"/>
      <c r="H24" s="97" t="s">
        <v>145</v>
      </c>
      <c r="I24" s="11"/>
      <c r="J24" s="11"/>
      <c r="K24" s="36"/>
      <c r="L24" s="72"/>
      <c r="M24" s="13" t="s">
        <v>70</v>
      </c>
      <c r="N24" s="98" t="s">
        <v>133</v>
      </c>
      <c r="O24" s="99" t="s">
        <v>140</v>
      </c>
      <c r="P24" s="101" t="s">
        <v>71</v>
      </c>
      <c r="Q24" s="11"/>
      <c r="R24" s="36"/>
      <c r="S24" s="101" t="s">
        <v>72</v>
      </c>
      <c r="T24" s="11"/>
      <c r="U24" s="11"/>
      <c r="V24" s="36"/>
      <c r="W24" s="67"/>
      <c r="X24" s="67"/>
      <c r="Y24" s="67"/>
      <c r="Z24" s="67"/>
      <c r="AA24" s="67"/>
      <c r="AB24" s="67"/>
      <c r="AC24" s="67"/>
      <c r="AD24" s="67"/>
      <c r="AE24" s="67"/>
      <c r="AF24" s="67"/>
      <c r="AG24" s="67"/>
      <c r="AH24" s="67"/>
      <c r="AI24" s="67"/>
      <c r="AJ24" s="67"/>
      <c r="AK24" s="67"/>
    </row>
    <row r="25" ht="69.0" customHeight="1">
      <c r="A25" s="15" t="s">
        <v>74</v>
      </c>
      <c r="B25" s="98" t="s">
        <v>133</v>
      </c>
      <c r="C25" s="96" t="s">
        <v>134</v>
      </c>
      <c r="D25" s="97" t="s">
        <v>146</v>
      </c>
      <c r="E25" s="11"/>
      <c r="F25" s="11"/>
      <c r="G25" s="36"/>
      <c r="H25" s="102" t="s">
        <v>147</v>
      </c>
      <c r="I25" s="11"/>
      <c r="J25" s="11"/>
      <c r="K25" s="36"/>
      <c r="L25" s="72"/>
      <c r="M25" s="13" t="s">
        <v>74</v>
      </c>
      <c r="N25" s="98" t="s">
        <v>138</v>
      </c>
      <c r="O25" s="99" t="s">
        <v>134</v>
      </c>
      <c r="P25" s="101" t="s">
        <v>75</v>
      </c>
      <c r="Q25" s="11"/>
      <c r="R25" s="36"/>
      <c r="S25" s="100" t="s">
        <v>148</v>
      </c>
      <c r="T25" s="11"/>
      <c r="U25" s="11"/>
      <c r="V25" s="36"/>
      <c r="W25" s="67"/>
      <c r="X25" s="67"/>
      <c r="Y25" s="67"/>
      <c r="Z25" s="67"/>
      <c r="AA25" s="67"/>
      <c r="AB25" s="67"/>
      <c r="AC25" s="67"/>
      <c r="AD25" s="67"/>
      <c r="AE25" s="67"/>
      <c r="AF25" s="67"/>
      <c r="AG25" s="67"/>
      <c r="AH25" s="67"/>
      <c r="AI25" s="67"/>
      <c r="AJ25" s="67"/>
      <c r="AK25" s="67"/>
    </row>
    <row r="26" ht="69.0" customHeight="1">
      <c r="A26" s="67"/>
      <c r="B26" s="67"/>
      <c r="C26" s="68"/>
      <c r="D26" s="70"/>
      <c r="E26" s="11"/>
      <c r="F26" s="11"/>
      <c r="G26" s="36"/>
      <c r="H26" s="73"/>
      <c r="I26" s="11"/>
      <c r="J26" s="11"/>
      <c r="K26" s="36"/>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row>
    <row r="27" ht="69.0" customHeight="1">
      <c r="A27" s="67"/>
      <c r="B27" s="67"/>
      <c r="C27" s="68"/>
      <c r="D27" s="67"/>
      <c r="E27" s="67"/>
      <c r="F27" s="67"/>
      <c r="G27" s="67"/>
      <c r="H27" s="68"/>
      <c r="I27" s="68"/>
      <c r="J27" s="68"/>
      <c r="K27" s="68"/>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c r="AI291" s="67"/>
      <c r="AJ291" s="67"/>
      <c r="AK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c r="AI292" s="67"/>
      <c r="AJ292" s="67"/>
      <c r="AK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c r="AH293" s="67"/>
      <c r="AI293" s="67"/>
      <c r="AJ293" s="67"/>
      <c r="AK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c r="AH295" s="67"/>
      <c r="AI295" s="67"/>
      <c r="AJ295" s="67"/>
      <c r="AK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c r="AH296" s="67"/>
      <c r="AI296" s="67"/>
      <c r="AJ296" s="67"/>
      <c r="AK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c r="AH297" s="67"/>
      <c r="AI297" s="67"/>
      <c r="AJ297" s="67"/>
      <c r="AK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c r="AH298" s="67"/>
      <c r="AI298" s="67"/>
      <c r="AJ298" s="67"/>
      <c r="AK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c r="AH299" s="67"/>
      <c r="AI299" s="67"/>
      <c r="AJ299" s="67"/>
      <c r="AK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c r="AI302" s="67"/>
      <c r="AJ302" s="67"/>
      <c r="AK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c r="AI303" s="67"/>
      <c r="AJ303" s="67"/>
      <c r="AK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c r="AI305" s="67"/>
      <c r="AJ305" s="67"/>
      <c r="AK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c r="AI306" s="67"/>
      <c r="AJ306" s="67"/>
      <c r="AK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c r="AI308" s="67"/>
      <c r="AJ308" s="67"/>
      <c r="AK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c r="AH314" s="67"/>
      <c r="AI314" s="67"/>
      <c r="AJ314" s="67"/>
      <c r="AK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c r="AI315" s="67"/>
      <c r="AJ315" s="67"/>
      <c r="AK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c r="AI316" s="67"/>
      <c r="AJ316" s="67"/>
      <c r="AK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c r="AI319" s="67"/>
      <c r="AJ319" s="67"/>
      <c r="AK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c r="AI320" s="67"/>
      <c r="AJ320" s="67"/>
      <c r="AK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c r="AI326" s="67"/>
      <c r="AJ326" s="67"/>
      <c r="AK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c r="AI327" s="67"/>
      <c r="AJ327" s="67"/>
      <c r="AK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c r="AH328" s="67"/>
      <c r="AI328" s="67"/>
      <c r="AJ328" s="67"/>
      <c r="AK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c r="AI338" s="67"/>
      <c r="AJ338" s="67"/>
      <c r="AK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c r="AI340" s="67"/>
      <c r="AJ340" s="67"/>
      <c r="AK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c r="AI341" s="67"/>
      <c r="AJ341" s="67"/>
      <c r="AK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c r="AI344" s="67"/>
      <c r="AJ344" s="67"/>
      <c r="AK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c r="AI345" s="67"/>
      <c r="AJ345" s="67"/>
      <c r="AK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c r="AI346" s="67"/>
      <c r="AJ346" s="67"/>
      <c r="AK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c r="AI348" s="67"/>
      <c r="AJ348" s="67"/>
      <c r="AK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c r="AI350" s="67"/>
      <c r="AJ350" s="67"/>
      <c r="AK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c r="AI351" s="67"/>
      <c r="AJ351" s="67"/>
      <c r="AK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c r="AH352" s="67"/>
      <c r="AI352" s="67"/>
      <c r="AJ352" s="67"/>
      <c r="AK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c r="AI353" s="67"/>
      <c r="AJ353" s="67"/>
      <c r="AK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c r="AI354" s="67"/>
      <c r="AJ354" s="67"/>
      <c r="AK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c r="AI355" s="67"/>
      <c r="AJ355" s="67"/>
      <c r="AK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c r="AI357" s="67"/>
      <c r="AJ357" s="67"/>
      <c r="AK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c r="AI365" s="67"/>
      <c r="AJ365" s="67"/>
      <c r="AK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c r="AI366" s="67"/>
      <c r="AJ366" s="67"/>
      <c r="AK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c r="AI367" s="67"/>
      <c r="AJ367" s="67"/>
      <c r="AK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c r="AI368" s="67"/>
      <c r="AJ368" s="67"/>
      <c r="AK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c r="AI370" s="67"/>
      <c r="AJ370" s="67"/>
      <c r="AK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c r="AI371" s="67"/>
      <c r="AJ371" s="67"/>
      <c r="AK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c r="AH374" s="67"/>
      <c r="AI374" s="67"/>
      <c r="AJ374" s="67"/>
      <c r="AK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c r="AI375" s="67"/>
      <c r="AJ375" s="67"/>
      <c r="AK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c r="AH376" s="67"/>
      <c r="AI376" s="67"/>
      <c r="AJ376" s="67"/>
      <c r="AK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c r="AH377" s="67"/>
      <c r="AI377" s="67"/>
      <c r="AJ377" s="67"/>
      <c r="AK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c r="AH378" s="67"/>
      <c r="AI378" s="67"/>
      <c r="AJ378" s="67"/>
      <c r="AK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c r="AI379" s="67"/>
      <c r="AJ379" s="67"/>
      <c r="AK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c r="AH380" s="67"/>
      <c r="AI380" s="67"/>
      <c r="AJ380" s="67"/>
      <c r="AK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c r="AH381" s="67"/>
      <c r="AI381" s="67"/>
      <c r="AJ381" s="67"/>
      <c r="AK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c r="AI382" s="67"/>
      <c r="AJ382" s="67"/>
      <c r="AK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c r="AI383" s="67"/>
      <c r="AJ383" s="67"/>
      <c r="AK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c r="AI384" s="67"/>
      <c r="AJ384" s="67"/>
      <c r="AK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c r="AI385" s="67"/>
      <c r="AJ385" s="67"/>
      <c r="AK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c r="AI386" s="67"/>
      <c r="AJ386" s="67"/>
      <c r="AK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c r="AI387" s="67"/>
      <c r="AJ387" s="67"/>
      <c r="AK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c r="AI388" s="67"/>
      <c r="AJ388" s="67"/>
      <c r="AK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c r="AI392" s="67"/>
      <c r="AJ392" s="67"/>
      <c r="AK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c r="AH393" s="67"/>
      <c r="AI393" s="67"/>
      <c r="AJ393" s="67"/>
      <c r="AK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c r="AH394" s="67"/>
      <c r="AI394" s="67"/>
      <c r="AJ394" s="67"/>
      <c r="AK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c r="AI395" s="67"/>
      <c r="AJ395" s="67"/>
      <c r="AK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c r="AI396" s="67"/>
      <c r="AJ396" s="67"/>
      <c r="AK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c r="AH397" s="67"/>
      <c r="AI397" s="67"/>
      <c r="AJ397" s="67"/>
      <c r="AK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c r="AH398" s="67"/>
      <c r="AI398" s="67"/>
      <c r="AJ398" s="67"/>
      <c r="AK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c r="AH399" s="67"/>
      <c r="AI399" s="67"/>
      <c r="AJ399" s="67"/>
      <c r="AK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c r="AH400" s="67"/>
      <c r="AI400" s="67"/>
      <c r="AJ400" s="67"/>
      <c r="AK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c r="AH401" s="67"/>
      <c r="AI401" s="67"/>
      <c r="AJ401" s="67"/>
      <c r="AK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c r="AI402" s="67"/>
      <c r="AJ402" s="67"/>
      <c r="AK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c r="AI403" s="67"/>
      <c r="AJ403" s="67"/>
      <c r="AK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c r="AI404" s="67"/>
      <c r="AJ404" s="67"/>
      <c r="AK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c r="AI405" s="67"/>
      <c r="AJ405" s="67"/>
      <c r="AK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c r="AH406" s="67"/>
      <c r="AI406" s="67"/>
      <c r="AJ406" s="67"/>
      <c r="AK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c r="AH407" s="67"/>
      <c r="AI407" s="67"/>
      <c r="AJ407" s="67"/>
      <c r="AK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c r="AH408" s="67"/>
      <c r="AI408" s="67"/>
      <c r="AJ408" s="67"/>
      <c r="AK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c r="AH409" s="67"/>
      <c r="AI409" s="67"/>
      <c r="AJ409" s="67"/>
      <c r="AK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c r="AH410" s="67"/>
      <c r="AI410" s="67"/>
      <c r="AJ410" s="67"/>
      <c r="AK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c r="AI411" s="67"/>
      <c r="AJ411" s="67"/>
      <c r="AK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c r="AH412" s="67"/>
      <c r="AI412" s="67"/>
      <c r="AJ412" s="67"/>
      <c r="AK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c r="AI413" s="67"/>
      <c r="AJ413" s="67"/>
      <c r="AK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c r="AH414" s="67"/>
      <c r="AI414" s="67"/>
      <c r="AJ414" s="67"/>
      <c r="AK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c r="AH415" s="67"/>
      <c r="AI415" s="67"/>
      <c r="AJ415" s="67"/>
      <c r="AK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c r="AH416" s="67"/>
      <c r="AI416" s="67"/>
      <c r="AJ416" s="67"/>
      <c r="AK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c r="AH417" s="67"/>
      <c r="AI417" s="67"/>
      <c r="AJ417" s="67"/>
      <c r="AK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c r="AI418" s="67"/>
      <c r="AJ418" s="67"/>
      <c r="AK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c r="AI420" s="67"/>
      <c r="AJ420" s="67"/>
      <c r="AK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c r="AI421" s="67"/>
      <c r="AJ421" s="67"/>
      <c r="AK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c r="AI422" s="67"/>
      <c r="AJ422" s="67"/>
      <c r="AK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c r="AI423" s="67"/>
      <c r="AJ423" s="67"/>
      <c r="AK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c r="AI425" s="67"/>
      <c r="AJ425" s="67"/>
      <c r="AK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c r="AI426" s="67"/>
      <c r="AJ426" s="67"/>
      <c r="AK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c r="AI427" s="67"/>
      <c r="AJ427" s="67"/>
      <c r="AK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c r="AI428" s="67"/>
      <c r="AJ428" s="67"/>
      <c r="AK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c r="AI429" s="67"/>
      <c r="AJ429" s="67"/>
      <c r="AK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c r="AI430" s="67"/>
      <c r="AJ430" s="67"/>
      <c r="AK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c r="AF431" s="67"/>
      <c r="AG431" s="67"/>
      <c r="AH431" s="67"/>
      <c r="AI431" s="67"/>
      <c r="AJ431" s="67"/>
      <c r="AK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c r="AF432" s="67"/>
      <c r="AG432" s="67"/>
      <c r="AH432" s="67"/>
      <c r="AI432" s="67"/>
      <c r="AJ432" s="67"/>
      <c r="AK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c r="AF433" s="67"/>
      <c r="AG433" s="67"/>
      <c r="AH433" s="67"/>
      <c r="AI433" s="67"/>
      <c r="AJ433" s="67"/>
      <c r="AK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c r="AI434" s="67"/>
      <c r="AJ434" s="67"/>
      <c r="AK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c r="AI435" s="67"/>
      <c r="AJ435" s="67"/>
      <c r="AK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c r="AI436" s="67"/>
      <c r="AJ436" s="67"/>
      <c r="AK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c r="AF437" s="67"/>
      <c r="AG437" s="67"/>
      <c r="AH437" s="67"/>
      <c r="AI437" s="67"/>
      <c r="AJ437" s="67"/>
      <c r="AK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c r="AF438" s="67"/>
      <c r="AG438" s="67"/>
      <c r="AH438" s="67"/>
      <c r="AI438" s="67"/>
      <c r="AJ438" s="67"/>
      <c r="AK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c r="AH439" s="67"/>
      <c r="AI439" s="67"/>
      <c r="AJ439" s="67"/>
      <c r="AK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c r="AI484" s="67"/>
      <c r="AJ484" s="67"/>
      <c r="AK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c r="AI487" s="67"/>
      <c r="AJ487" s="67"/>
      <c r="AK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c r="AI488" s="67"/>
      <c r="AJ488" s="67"/>
      <c r="AK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c r="AI490" s="67"/>
      <c r="AJ490" s="67"/>
      <c r="AK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c r="AI493" s="67"/>
      <c r="AJ493" s="67"/>
      <c r="AK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c r="AI494" s="67"/>
      <c r="AJ494" s="67"/>
      <c r="AK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c r="AI495" s="67"/>
      <c r="AJ495" s="67"/>
      <c r="AK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c r="AI497" s="67"/>
      <c r="AJ497" s="67"/>
      <c r="AK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c r="AI498" s="67"/>
      <c r="AJ498" s="67"/>
      <c r="AK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c r="AI511" s="67"/>
      <c r="AJ511" s="67"/>
      <c r="AK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67"/>
      <c r="AJ517" s="67"/>
      <c r="AK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67"/>
      <c r="AJ523" s="67"/>
      <c r="AK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c r="AH553" s="67"/>
      <c r="AI553" s="67"/>
      <c r="AJ553" s="67"/>
      <c r="AK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c r="AI554" s="67"/>
      <c r="AJ554" s="67"/>
      <c r="AK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c r="AH555" s="67"/>
      <c r="AI555" s="67"/>
      <c r="AJ555" s="67"/>
      <c r="AK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67"/>
      <c r="AG556" s="67"/>
      <c r="AH556" s="67"/>
      <c r="AI556" s="67"/>
      <c r="AJ556" s="67"/>
      <c r="AK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c r="AH557" s="67"/>
      <c r="AI557" s="67"/>
      <c r="AJ557" s="67"/>
      <c r="AK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67"/>
      <c r="AG558" s="67"/>
      <c r="AH558" s="67"/>
      <c r="AI558" s="67"/>
      <c r="AJ558" s="67"/>
      <c r="AK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c r="AH559" s="67"/>
      <c r="AI559" s="67"/>
      <c r="AJ559" s="67"/>
      <c r="AK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c r="AH560" s="67"/>
      <c r="AI560" s="67"/>
      <c r="AJ560" s="67"/>
      <c r="AK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67"/>
      <c r="AG561" s="67"/>
      <c r="AH561" s="67"/>
      <c r="AI561" s="67"/>
      <c r="AJ561" s="67"/>
      <c r="AK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c r="AH562" s="67"/>
      <c r="AI562" s="67"/>
      <c r="AJ562" s="67"/>
      <c r="AK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c r="AH563" s="67"/>
      <c r="AI563" s="67"/>
      <c r="AJ563" s="67"/>
      <c r="AK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67"/>
      <c r="AG564" s="67"/>
      <c r="AH564" s="67"/>
      <c r="AI564" s="67"/>
      <c r="AJ564" s="67"/>
      <c r="AK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c r="AH565" s="67"/>
      <c r="AI565" s="67"/>
      <c r="AJ565" s="67"/>
      <c r="AK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c r="AI567" s="67"/>
      <c r="AJ567" s="67"/>
      <c r="AK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c r="AI568" s="67"/>
      <c r="AJ568" s="67"/>
      <c r="AK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c r="AI569" s="67"/>
      <c r="AJ569" s="67"/>
      <c r="AK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c r="AI570" s="67"/>
      <c r="AJ570" s="67"/>
      <c r="AK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c r="AI572" s="67"/>
      <c r="AJ572" s="67"/>
      <c r="AK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c r="AH573" s="67"/>
      <c r="AI573" s="67"/>
      <c r="AJ573" s="67"/>
      <c r="AK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c r="AI574" s="67"/>
      <c r="AJ574" s="67"/>
      <c r="AK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c r="AI575" s="67"/>
      <c r="AJ575" s="67"/>
      <c r="AK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c r="AF576" s="67"/>
      <c r="AG576" s="67"/>
      <c r="AH576" s="67"/>
      <c r="AI576" s="67"/>
      <c r="AJ576" s="67"/>
      <c r="AK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c r="AH577" s="67"/>
      <c r="AI577" s="67"/>
      <c r="AJ577" s="67"/>
      <c r="AK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c r="AI578" s="67"/>
      <c r="AJ578" s="67"/>
      <c r="AK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c r="AH579" s="67"/>
      <c r="AI579" s="67"/>
      <c r="AJ579" s="67"/>
      <c r="AK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c r="AH580" s="67"/>
      <c r="AI580" s="67"/>
      <c r="AJ580" s="67"/>
      <c r="AK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c r="AH581" s="67"/>
      <c r="AI581" s="67"/>
      <c r="AJ581" s="67"/>
      <c r="AK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c r="AH582" s="67"/>
      <c r="AI582" s="67"/>
      <c r="AJ582" s="67"/>
      <c r="AK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c r="AH583" s="67"/>
      <c r="AI583" s="67"/>
      <c r="AJ583" s="67"/>
      <c r="AK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c r="AH585" s="67"/>
      <c r="AI585" s="67"/>
      <c r="AJ585" s="67"/>
      <c r="AK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c r="AI586" s="67"/>
      <c r="AJ586" s="67"/>
      <c r="AK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c r="AI588" s="67"/>
      <c r="AJ588" s="67"/>
      <c r="AK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c r="AI589" s="67"/>
      <c r="AJ589" s="67"/>
      <c r="AK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c r="AI592" s="67"/>
      <c r="AJ592" s="67"/>
      <c r="AK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c r="AH593" s="67"/>
      <c r="AI593" s="67"/>
      <c r="AJ593" s="67"/>
      <c r="AK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c r="AI594" s="67"/>
      <c r="AJ594" s="67"/>
      <c r="AK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c r="AI595" s="67"/>
      <c r="AJ595" s="67"/>
      <c r="AK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c r="AI596" s="67"/>
      <c r="AJ596" s="67"/>
      <c r="AK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c r="AH597" s="67"/>
      <c r="AI597" s="67"/>
      <c r="AJ597" s="67"/>
      <c r="AK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c r="AH598" s="67"/>
      <c r="AI598" s="67"/>
      <c r="AJ598" s="67"/>
      <c r="AK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c r="AF600" s="67"/>
      <c r="AG600" s="67"/>
      <c r="AH600" s="67"/>
      <c r="AI600" s="67"/>
      <c r="AJ600" s="67"/>
      <c r="AK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c r="AF601" s="67"/>
      <c r="AG601" s="67"/>
      <c r="AH601" s="67"/>
      <c r="AI601" s="67"/>
      <c r="AJ601" s="67"/>
      <c r="AK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c r="AH602" s="67"/>
      <c r="AI602" s="67"/>
      <c r="AJ602" s="67"/>
      <c r="AK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c r="AH603" s="67"/>
      <c r="AI603" s="67"/>
      <c r="AJ603" s="67"/>
      <c r="AK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c r="AH604" s="67"/>
      <c r="AI604" s="67"/>
      <c r="AJ604" s="67"/>
      <c r="AK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c r="AF605" s="67"/>
      <c r="AG605" s="67"/>
      <c r="AH605" s="67"/>
      <c r="AI605" s="67"/>
      <c r="AJ605" s="67"/>
      <c r="AK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c r="AH606" s="67"/>
      <c r="AI606" s="67"/>
      <c r="AJ606" s="67"/>
      <c r="AK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c r="AF607" s="67"/>
      <c r="AG607" s="67"/>
      <c r="AH607" s="67"/>
      <c r="AI607" s="67"/>
      <c r="AJ607" s="67"/>
      <c r="AK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c r="AH608" s="67"/>
      <c r="AI608" s="67"/>
      <c r="AJ608" s="67"/>
      <c r="AK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c r="AF609" s="67"/>
      <c r="AG609" s="67"/>
      <c r="AH609" s="67"/>
      <c r="AI609" s="67"/>
      <c r="AJ609" s="67"/>
      <c r="AK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c r="AH610" s="67"/>
      <c r="AI610" s="67"/>
      <c r="AJ610" s="67"/>
      <c r="AK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c r="AI611" s="67"/>
      <c r="AJ611" s="67"/>
      <c r="AK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c r="AH612" s="67"/>
      <c r="AI612" s="67"/>
      <c r="AJ612" s="67"/>
      <c r="AK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c r="AF613" s="67"/>
      <c r="AG613" s="67"/>
      <c r="AH613" s="67"/>
      <c r="AI613" s="67"/>
      <c r="AJ613" s="67"/>
      <c r="AK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c r="AH614" s="67"/>
      <c r="AI614" s="67"/>
      <c r="AJ614" s="67"/>
      <c r="AK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c r="AH615" s="67"/>
      <c r="AI615" s="67"/>
      <c r="AJ615" s="67"/>
      <c r="AK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c r="AF616" s="67"/>
      <c r="AG616" s="67"/>
      <c r="AH616" s="67"/>
      <c r="AI616" s="67"/>
      <c r="AJ616" s="67"/>
      <c r="AK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c r="AF617" s="67"/>
      <c r="AG617" s="67"/>
      <c r="AH617" s="67"/>
      <c r="AI617" s="67"/>
      <c r="AJ617" s="67"/>
      <c r="AK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c r="AH618" s="67"/>
      <c r="AI618" s="67"/>
      <c r="AJ618" s="67"/>
      <c r="AK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c r="AH619" s="67"/>
      <c r="AI619" s="67"/>
      <c r="AJ619" s="67"/>
      <c r="AK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c r="AH620" s="67"/>
      <c r="AI620" s="67"/>
      <c r="AJ620" s="67"/>
      <c r="AK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c r="AI621" s="67"/>
      <c r="AJ621" s="67"/>
      <c r="AK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c r="AI622" s="67"/>
      <c r="AJ622" s="67"/>
      <c r="AK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c r="AI623" s="67"/>
      <c r="AJ623" s="67"/>
      <c r="AK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c r="AI624" s="67"/>
      <c r="AJ624" s="67"/>
      <c r="AK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c r="AI625" s="67"/>
      <c r="AJ625" s="67"/>
      <c r="AK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c r="AI626" s="67"/>
      <c r="AJ626" s="67"/>
      <c r="AK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c r="AI627" s="67"/>
      <c r="AJ627" s="67"/>
      <c r="AK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c r="AI629" s="67"/>
      <c r="AJ629" s="67"/>
      <c r="AK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c r="AI630" s="67"/>
      <c r="AJ630" s="67"/>
      <c r="AK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c r="AH631" s="67"/>
      <c r="AI631" s="67"/>
      <c r="AJ631" s="67"/>
      <c r="AK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c r="AF632" s="67"/>
      <c r="AG632" s="67"/>
      <c r="AH632" s="67"/>
      <c r="AI632" s="67"/>
      <c r="AJ632" s="67"/>
      <c r="AK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c r="AH633" s="67"/>
      <c r="AI633" s="67"/>
      <c r="AJ633" s="67"/>
      <c r="AK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c r="AH634" s="67"/>
      <c r="AI634" s="67"/>
      <c r="AJ634" s="67"/>
      <c r="AK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c r="AI635" s="67"/>
      <c r="AJ635" s="67"/>
      <c r="AK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c r="AH636" s="67"/>
      <c r="AI636" s="67"/>
      <c r="AJ636" s="67"/>
      <c r="AK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c r="AH637" s="67"/>
      <c r="AI637" s="67"/>
      <c r="AJ637" s="67"/>
      <c r="AK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c r="AH638" s="67"/>
      <c r="AI638" s="67"/>
      <c r="AJ638" s="67"/>
      <c r="AK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c r="AH639" s="67"/>
      <c r="AI639" s="67"/>
      <c r="AJ639" s="67"/>
      <c r="AK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c r="AH640" s="67"/>
      <c r="AI640" s="67"/>
      <c r="AJ640" s="67"/>
      <c r="AK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c r="AI641" s="67"/>
      <c r="AJ641" s="67"/>
      <c r="AK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c r="AI642" s="67"/>
      <c r="AJ642" s="67"/>
      <c r="AK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c r="AH643" s="67"/>
      <c r="AI643" s="67"/>
      <c r="AJ643" s="67"/>
      <c r="AK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c r="AF644" s="67"/>
      <c r="AG644" s="67"/>
      <c r="AH644" s="67"/>
      <c r="AI644" s="67"/>
      <c r="AJ644" s="67"/>
      <c r="AK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c r="AF645" s="67"/>
      <c r="AG645" s="67"/>
      <c r="AH645" s="67"/>
      <c r="AI645" s="67"/>
      <c r="AJ645" s="67"/>
      <c r="AK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c r="AF646" s="67"/>
      <c r="AG646" s="67"/>
      <c r="AH646" s="67"/>
      <c r="AI646" s="67"/>
      <c r="AJ646" s="67"/>
      <c r="AK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c r="AI647" s="67"/>
      <c r="AJ647" s="67"/>
      <c r="AK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c r="AI648" s="67"/>
      <c r="AJ648" s="67"/>
      <c r="AK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c r="AI653" s="67"/>
      <c r="AJ653" s="67"/>
      <c r="AK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c r="AI654" s="67"/>
      <c r="AJ654" s="67"/>
      <c r="AK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c r="AI659" s="67"/>
      <c r="AJ659" s="67"/>
      <c r="AK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c r="AI660" s="67"/>
      <c r="AJ660" s="67"/>
      <c r="AK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c r="AI661" s="67"/>
      <c r="AJ661" s="67"/>
      <c r="AK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c r="AI663" s="67"/>
      <c r="AJ663" s="67"/>
      <c r="AK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c r="AF665" s="67"/>
      <c r="AG665" s="67"/>
      <c r="AH665" s="67"/>
      <c r="AI665" s="67"/>
      <c r="AJ665" s="67"/>
      <c r="AK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c r="AF666" s="67"/>
      <c r="AG666" s="67"/>
      <c r="AH666" s="67"/>
      <c r="AI666" s="67"/>
      <c r="AJ666" s="67"/>
      <c r="AK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c r="AF667" s="67"/>
      <c r="AG667" s="67"/>
      <c r="AH667" s="67"/>
      <c r="AI667" s="67"/>
      <c r="AJ667" s="67"/>
      <c r="AK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c r="AH668" s="67"/>
      <c r="AI668" s="67"/>
      <c r="AJ668" s="67"/>
      <c r="AK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c r="AH670" s="67"/>
      <c r="AI670" s="67"/>
      <c r="AJ670" s="67"/>
      <c r="AK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c r="AH671" s="67"/>
      <c r="AI671" s="67"/>
      <c r="AJ671" s="67"/>
      <c r="AK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c r="AF672" s="67"/>
      <c r="AG672" s="67"/>
      <c r="AH672" s="67"/>
      <c r="AI672" s="67"/>
      <c r="AJ672" s="67"/>
      <c r="AK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c r="AH673" s="67"/>
      <c r="AI673" s="67"/>
      <c r="AJ673" s="67"/>
      <c r="AK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c r="AF674" s="67"/>
      <c r="AG674" s="67"/>
      <c r="AH674" s="67"/>
      <c r="AI674" s="67"/>
      <c r="AJ674" s="67"/>
      <c r="AK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c r="AF675" s="67"/>
      <c r="AG675" s="67"/>
      <c r="AH675" s="67"/>
      <c r="AI675" s="67"/>
      <c r="AJ675" s="67"/>
      <c r="AK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c r="AF676" s="67"/>
      <c r="AG676" s="67"/>
      <c r="AH676" s="67"/>
      <c r="AI676" s="67"/>
      <c r="AJ676" s="67"/>
      <c r="AK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c r="AF677" s="67"/>
      <c r="AG677" s="67"/>
      <c r="AH677" s="67"/>
      <c r="AI677" s="67"/>
      <c r="AJ677" s="67"/>
      <c r="AK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c r="AF678" s="67"/>
      <c r="AG678" s="67"/>
      <c r="AH678" s="67"/>
      <c r="AI678" s="67"/>
      <c r="AJ678" s="67"/>
      <c r="AK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c r="AF679" s="67"/>
      <c r="AG679" s="67"/>
      <c r="AH679" s="67"/>
      <c r="AI679" s="67"/>
      <c r="AJ679" s="67"/>
      <c r="AK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c r="AF680" s="67"/>
      <c r="AG680" s="67"/>
      <c r="AH680" s="67"/>
      <c r="AI680" s="67"/>
      <c r="AJ680" s="67"/>
      <c r="AK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c r="AH681" s="67"/>
      <c r="AI681" s="67"/>
      <c r="AJ681" s="67"/>
      <c r="AK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c r="AF682" s="67"/>
      <c r="AG682" s="67"/>
      <c r="AH682" s="67"/>
      <c r="AI682" s="67"/>
      <c r="AJ682" s="67"/>
      <c r="AK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c r="AF683" s="67"/>
      <c r="AG683" s="67"/>
      <c r="AH683" s="67"/>
      <c r="AI683" s="67"/>
      <c r="AJ683" s="67"/>
      <c r="AK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c r="AC684" s="67"/>
      <c r="AD684" s="67"/>
      <c r="AE684" s="67"/>
      <c r="AF684" s="67"/>
      <c r="AG684" s="67"/>
      <c r="AH684" s="67"/>
      <c r="AI684" s="67"/>
      <c r="AJ684" s="67"/>
      <c r="AK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c r="AF685" s="67"/>
      <c r="AG685" s="67"/>
      <c r="AH685" s="67"/>
      <c r="AI685" s="67"/>
      <c r="AJ685" s="67"/>
      <c r="AK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c r="AF686" s="67"/>
      <c r="AG686" s="67"/>
      <c r="AH686" s="67"/>
      <c r="AI686" s="67"/>
      <c r="AJ686" s="67"/>
      <c r="AK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c r="AF687" s="67"/>
      <c r="AG687" s="67"/>
      <c r="AH687" s="67"/>
      <c r="AI687" s="67"/>
      <c r="AJ687" s="67"/>
      <c r="AK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c r="AF688" s="67"/>
      <c r="AG688" s="67"/>
      <c r="AH688" s="67"/>
      <c r="AI688" s="67"/>
      <c r="AJ688" s="67"/>
      <c r="AK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c r="AH689" s="67"/>
      <c r="AI689" s="67"/>
      <c r="AJ689" s="67"/>
      <c r="AK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c r="AH690" s="67"/>
      <c r="AI690" s="67"/>
      <c r="AJ690" s="67"/>
      <c r="AK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c r="AH691" s="67"/>
      <c r="AI691" s="67"/>
      <c r="AJ691" s="67"/>
      <c r="AK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c r="AF692" s="67"/>
      <c r="AG692" s="67"/>
      <c r="AH692" s="67"/>
      <c r="AI692" s="67"/>
      <c r="AJ692" s="67"/>
      <c r="AK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c r="AH693" s="67"/>
      <c r="AI693" s="67"/>
      <c r="AJ693" s="67"/>
      <c r="AK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c r="AF694" s="67"/>
      <c r="AG694" s="67"/>
      <c r="AH694" s="67"/>
      <c r="AI694" s="67"/>
      <c r="AJ694" s="67"/>
      <c r="AK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c r="AF695" s="67"/>
      <c r="AG695" s="67"/>
      <c r="AH695" s="67"/>
      <c r="AI695" s="67"/>
      <c r="AJ695" s="67"/>
      <c r="AK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c r="AH696" s="67"/>
      <c r="AI696" s="67"/>
      <c r="AJ696" s="67"/>
      <c r="AK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c r="AC697" s="67"/>
      <c r="AD697" s="67"/>
      <c r="AE697" s="67"/>
      <c r="AF697" s="67"/>
      <c r="AG697" s="67"/>
      <c r="AH697" s="67"/>
      <c r="AI697" s="67"/>
      <c r="AJ697" s="67"/>
      <c r="AK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c r="AF698" s="67"/>
      <c r="AG698" s="67"/>
      <c r="AH698" s="67"/>
      <c r="AI698" s="67"/>
      <c r="AJ698" s="67"/>
      <c r="AK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c r="AF699" s="67"/>
      <c r="AG699" s="67"/>
      <c r="AH699" s="67"/>
      <c r="AI699" s="67"/>
      <c r="AJ699" s="67"/>
      <c r="AK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c r="AF700" s="67"/>
      <c r="AG700" s="67"/>
      <c r="AH700" s="67"/>
      <c r="AI700" s="67"/>
      <c r="AJ700" s="67"/>
      <c r="AK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c r="AF701" s="67"/>
      <c r="AG701" s="67"/>
      <c r="AH701" s="67"/>
      <c r="AI701" s="67"/>
      <c r="AJ701" s="67"/>
      <c r="AK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c r="AF702" s="67"/>
      <c r="AG702" s="67"/>
      <c r="AH702" s="67"/>
      <c r="AI702" s="67"/>
      <c r="AJ702" s="67"/>
      <c r="AK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c r="AF703" s="67"/>
      <c r="AG703" s="67"/>
      <c r="AH703" s="67"/>
      <c r="AI703" s="67"/>
      <c r="AJ703" s="67"/>
      <c r="AK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c r="AH704" s="67"/>
      <c r="AI704" s="67"/>
      <c r="AJ704" s="67"/>
      <c r="AK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c r="AF705" s="67"/>
      <c r="AG705" s="67"/>
      <c r="AH705" s="67"/>
      <c r="AI705" s="67"/>
      <c r="AJ705" s="67"/>
      <c r="AK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67"/>
      <c r="AG706" s="67"/>
      <c r="AH706" s="67"/>
      <c r="AI706" s="67"/>
      <c r="AJ706" s="67"/>
      <c r="AK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c r="AH707" s="67"/>
      <c r="AI707" s="67"/>
      <c r="AJ707" s="67"/>
      <c r="AK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c r="AH708" s="67"/>
      <c r="AI708" s="67"/>
      <c r="AJ708" s="67"/>
      <c r="AK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c r="AH709" s="67"/>
      <c r="AI709" s="67"/>
      <c r="AJ709" s="67"/>
      <c r="AK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c r="AF710" s="67"/>
      <c r="AG710" s="67"/>
      <c r="AH710" s="67"/>
      <c r="AI710" s="67"/>
      <c r="AJ710" s="67"/>
      <c r="AK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c r="AH711" s="67"/>
      <c r="AI711" s="67"/>
      <c r="AJ711" s="67"/>
      <c r="AK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c r="AF712" s="67"/>
      <c r="AG712" s="67"/>
      <c r="AH712" s="67"/>
      <c r="AI712" s="67"/>
      <c r="AJ712" s="67"/>
      <c r="AK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c r="AF713" s="67"/>
      <c r="AG713" s="67"/>
      <c r="AH713" s="67"/>
      <c r="AI713" s="67"/>
      <c r="AJ713" s="67"/>
      <c r="AK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c r="AH714" s="67"/>
      <c r="AI714" s="67"/>
      <c r="AJ714" s="67"/>
      <c r="AK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c r="AI715" s="67"/>
      <c r="AJ715" s="67"/>
      <c r="AK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c r="AH716" s="67"/>
      <c r="AI716" s="67"/>
      <c r="AJ716" s="67"/>
      <c r="AK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c r="AH717" s="67"/>
      <c r="AI717" s="67"/>
      <c r="AJ717" s="67"/>
      <c r="AK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c r="AI718" s="67"/>
      <c r="AJ718" s="67"/>
      <c r="AK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c r="AH719" s="67"/>
      <c r="AI719" s="67"/>
      <c r="AJ719" s="67"/>
      <c r="AK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c r="AH720" s="67"/>
      <c r="AI720" s="67"/>
      <c r="AJ720" s="67"/>
      <c r="AK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c r="AH721" s="67"/>
      <c r="AI721" s="67"/>
      <c r="AJ721" s="67"/>
      <c r="AK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c r="AH722" s="67"/>
      <c r="AI722" s="67"/>
      <c r="AJ722" s="67"/>
      <c r="AK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c r="AH723" s="67"/>
      <c r="AI723" s="67"/>
      <c r="AJ723" s="67"/>
      <c r="AK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c r="AH724" s="67"/>
      <c r="AI724" s="67"/>
      <c r="AJ724" s="67"/>
      <c r="AK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c r="AH725" s="67"/>
      <c r="AI725" s="67"/>
      <c r="AJ725" s="67"/>
      <c r="AK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c r="AH726" s="67"/>
      <c r="AI726" s="67"/>
      <c r="AJ726" s="67"/>
      <c r="AK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c r="AH727" s="67"/>
      <c r="AI727" s="67"/>
      <c r="AJ727" s="67"/>
      <c r="AK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c r="AH728" s="67"/>
      <c r="AI728" s="67"/>
      <c r="AJ728" s="67"/>
      <c r="AK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c r="AF729" s="67"/>
      <c r="AG729" s="67"/>
      <c r="AH729" s="67"/>
      <c r="AI729" s="67"/>
      <c r="AJ729" s="67"/>
      <c r="AK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c r="AF730" s="67"/>
      <c r="AG730" s="67"/>
      <c r="AH730" s="67"/>
      <c r="AI730" s="67"/>
      <c r="AJ730" s="67"/>
      <c r="AK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c r="AF731" s="67"/>
      <c r="AG731" s="67"/>
      <c r="AH731" s="67"/>
      <c r="AI731" s="67"/>
      <c r="AJ731" s="67"/>
      <c r="AK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c r="AF732" s="67"/>
      <c r="AG732" s="67"/>
      <c r="AH732" s="67"/>
      <c r="AI732" s="67"/>
      <c r="AJ732" s="67"/>
      <c r="AK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c r="AF733" s="67"/>
      <c r="AG733" s="67"/>
      <c r="AH733" s="67"/>
      <c r="AI733" s="67"/>
      <c r="AJ733" s="67"/>
      <c r="AK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c r="AF734" s="67"/>
      <c r="AG734" s="67"/>
      <c r="AH734" s="67"/>
      <c r="AI734" s="67"/>
      <c r="AJ734" s="67"/>
      <c r="AK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c r="AF735" s="67"/>
      <c r="AG735" s="67"/>
      <c r="AH735" s="67"/>
      <c r="AI735" s="67"/>
      <c r="AJ735" s="67"/>
      <c r="AK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c r="AF736" s="67"/>
      <c r="AG736" s="67"/>
      <c r="AH736" s="67"/>
      <c r="AI736" s="67"/>
      <c r="AJ736" s="67"/>
      <c r="AK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c r="AF737" s="67"/>
      <c r="AG737" s="67"/>
      <c r="AH737" s="67"/>
      <c r="AI737" s="67"/>
      <c r="AJ737" s="67"/>
      <c r="AK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c r="AF738" s="67"/>
      <c r="AG738" s="67"/>
      <c r="AH738" s="67"/>
      <c r="AI738" s="67"/>
      <c r="AJ738" s="67"/>
      <c r="AK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c r="AF739" s="67"/>
      <c r="AG739" s="67"/>
      <c r="AH739" s="67"/>
      <c r="AI739" s="67"/>
      <c r="AJ739" s="67"/>
      <c r="AK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c r="AF740" s="67"/>
      <c r="AG740" s="67"/>
      <c r="AH740" s="67"/>
      <c r="AI740" s="67"/>
      <c r="AJ740" s="67"/>
      <c r="AK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c r="AF741" s="67"/>
      <c r="AG741" s="67"/>
      <c r="AH741" s="67"/>
      <c r="AI741" s="67"/>
      <c r="AJ741" s="67"/>
      <c r="AK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c r="AH742" s="67"/>
      <c r="AI742" s="67"/>
      <c r="AJ742" s="67"/>
      <c r="AK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c r="AH743" s="67"/>
      <c r="AI743" s="67"/>
      <c r="AJ743" s="67"/>
      <c r="AK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c r="AH744" s="67"/>
      <c r="AI744" s="67"/>
      <c r="AJ744" s="67"/>
      <c r="AK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c r="AH745" s="67"/>
      <c r="AI745" s="67"/>
      <c r="AJ745" s="67"/>
      <c r="AK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c r="AH746" s="67"/>
      <c r="AI746" s="67"/>
      <c r="AJ746" s="67"/>
      <c r="AK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c r="AH747" s="67"/>
      <c r="AI747" s="67"/>
      <c r="AJ747" s="67"/>
      <c r="AK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c r="AH748" s="67"/>
      <c r="AI748" s="67"/>
      <c r="AJ748" s="67"/>
      <c r="AK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c r="AH749" s="67"/>
      <c r="AI749" s="67"/>
      <c r="AJ749" s="67"/>
      <c r="AK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c r="AH750" s="67"/>
      <c r="AI750" s="67"/>
      <c r="AJ750" s="67"/>
      <c r="AK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c r="AH751" s="67"/>
      <c r="AI751" s="67"/>
      <c r="AJ751" s="67"/>
      <c r="AK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c r="AH752" s="67"/>
      <c r="AI752" s="67"/>
      <c r="AJ752" s="67"/>
      <c r="AK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c r="AH753" s="67"/>
      <c r="AI753" s="67"/>
      <c r="AJ753" s="67"/>
      <c r="AK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c r="AH754" s="67"/>
      <c r="AI754" s="67"/>
      <c r="AJ754" s="67"/>
      <c r="AK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c r="AH755" s="67"/>
      <c r="AI755" s="67"/>
      <c r="AJ755" s="67"/>
      <c r="AK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c r="AH756" s="67"/>
      <c r="AI756" s="67"/>
      <c r="AJ756" s="67"/>
      <c r="AK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c r="AH757" s="67"/>
      <c r="AI757" s="67"/>
      <c r="AJ757" s="67"/>
      <c r="AK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c r="AH758" s="67"/>
      <c r="AI758" s="67"/>
      <c r="AJ758" s="67"/>
      <c r="AK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c r="AH759" s="67"/>
      <c r="AI759" s="67"/>
      <c r="AJ759" s="67"/>
      <c r="AK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c r="AH760" s="67"/>
      <c r="AI760" s="67"/>
      <c r="AJ760" s="67"/>
      <c r="AK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c r="AF761" s="67"/>
      <c r="AG761" s="67"/>
      <c r="AH761" s="67"/>
      <c r="AI761" s="67"/>
      <c r="AJ761" s="67"/>
      <c r="AK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c r="AH762" s="67"/>
      <c r="AI762" s="67"/>
      <c r="AJ762" s="67"/>
      <c r="AK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c r="AH763" s="67"/>
      <c r="AI763" s="67"/>
      <c r="AJ763" s="67"/>
      <c r="AK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c r="AH764" s="67"/>
      <c r="AI764" s="67"/>
      <c r="AJ764" s="67"/>
      <c r="AK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c r="AH765" s="67"/>
      <c r="AI765" s="67"/>
      <c r="AJ765" s="67"/>
      <c r="AK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c r="AH766" s="67"/>
      <c r="AI766" s="67"/>
      <c r="AJ766" s="67"/>
      <c r="AK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c r="AH767" s="67"/>
      <c r="AI767" s="67"/>
      <c r="AJ767" s="67"/>
      <c r="AK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c r="AI768" s="67"/>
      <c r="AJ768" s="67"/>
      <c r="AK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c r="AH769" s="67"/>
      <c r="AI769" s="67"/>
      <c r="AJ769" s="67"/>
      <c r="AK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c r="AH770" s="67"/>
      <c r="AI770" s="67"/>
      <c r="AJ770" s="67"/>
      <c r="AK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c r="AH771" s="67"/>
      <c r="AI771" s="67"/>
      <c r="AJ771" s="67"/>
      <c r="AK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c r="AH772" s="67"/>
      <c r="AI772" s="67"/>
      <c r="AJ772" s="67"/>
      <c r="AK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c r="AH773" s="67"/>
      <c r="AI773" s="67"/>
      <c r="AJ773" s="67"/>
      <c r="AK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c r="AF774" s="67"/>
      <c r="AG774" s="67"/>
      <c r="AH774" s="67"/>
      <c r="AI774" s="67"/>
      <c r="AJ774" s="67"/>
      <c r="AK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c r="AH775" s="67"/>
      <c r="AI775" s="67"/>
      <c r="AJ775" s="67"/>
      <c r="AK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c r="AH776" s="67"/>
      <c r="AI776" s="67"/>
      <c r="AJ776" s="67"/>
      <c r="AK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c r="AH777" s="67"/>
      <c r="AI777" s="67"/>
      <c r="AJ777" s="67"/>
      <c r="AK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c r="AH778" s="67"/>
      <c r="AI778" s="67"/>
      <c r="AJ778" s="67"/>
      <c r="AK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c r="AH779" s="67"/>
      <c r="AI779" s="67"/>
      <c r="AJ779" s="67"/>
      <c r="AK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c r="AH780" s="67"/>
      <c r="AI780" s="67"/>
      <c r="AJ780" s="67"/>
      <c r="AK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c r="AF781" s="67"/>
      <c r="AG781" s="67"/>
      <c r="AH781" s="67"/>
      <c r="AI781" s="67"/>
      <c r="AJ781" s="67"/>
      <c r="AK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c r="AH782" s="67"/>
      <c r="AI782" s="67"/>
      <c r="AJ782" s="67"/>
      <c r="AK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c r="AF783" s="67"/>
      <c r="AG783" s="67"/>
      <c r="AH783" s="67"/>
      <c r="AI783" s="67"/>
      <c r="AJ783" s="67"/>
      <c r="AK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c r="AH784" s="67"/>
      <c r="AI784" s="67"/>
      <c r="AJ784" s="67"/>
      <c r="AK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c r="AF785" s="67"/>
      <c r="AG785" s="67"/>
      <c r="AH785" s="67"/>
      <c r="AI785" s="67"/>
      <c r="AJ785" s="67"/>
      <c r="AK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c r="AH786" s="67"/>
      <c r="AI786" s="67"/>
      <c r="AJ786" s="67"/>
      <c r="AK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c r="AF787" s="67"/>
      <c r="AG787" s="67"/>
      <c r="AH787" s="67"/>
      <c r="AI787" s="67"/>
      <c r="AJ787" s="67"/>
      <c r="AK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c r="AH788" s="67"/>
      <c r="AI788" s="67"/>
      <c r="AJ788" s="67"/>
      <c r="AK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c r="AF789" s="67"/>
      <c r="AG789" s="67"/>
      <c r="AH789" s="67"/>
      <c r="AI789" s="67"/>
      <c r="AJ789" s="67"/>
      <c r="AK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c r="AH790" s="67"/>
      <c r="AI790" s="67"/>
      <c r="AJ790" s="67"/>
      <c r="AK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c r="AF791" s="67"/>
      <c r="AG791" s="67"/>
      <c r="AH791" s="67"/>
      <c r="AI791" s="67"/>
      <c r="AJ791" s="67"/>
      <c r="AK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c r="AH792" s="67"/>
      <c r="AI792" s="67"/>
      <c r="AJ792" s="67"/>
      <c r="AK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c r="AF793" s="67"/>
      <c r="AG793" s="67"/>
      <c r="AH793" s="67"/>
      <c r="AI793" s="67"/>
      <c r="AJ793" s="67"/>
      <c r="AK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c r="AH794" s="67"/>
      <c r="AI794" s="67"/>
      <c r="AJ794" s="67"/>
      <c r="AK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c r="AF795" s="67"/>
      <c r="AG795" s="67"/>
      <c r="AH795" s="67"/>
      <c r="AI795" s="67"/>
      <c r="AJ795" s="67"/>
      <c r="AK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c r="AH796" s="67"/>
      <c r="AI796" s="67"/>
      <c r="AJ796" s="67"/>
      <c r="AK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c r="AF797" s="67"/>
      <c r="AG797" s="67"/>
      <c r="AH797" s="67"/>
      <c r="AI797" s="67"/>
      <c r="AJ797" s="67"/>
      <c r="AK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c r="AH798" s="67"/>
      <c r="AI798" s="67"/>
      <c r="AJ798" s="67"/>
      <c r="AK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c r="AF799" s="67"/>
      <c r="AG799" s="67"/>
      <c r="AH799" s="67"/>
      <c r="AI799" s="67"/>
      <c r="AJ799" s="67"/>
      <c r="AK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c r="AH800" s="67"/>
      <c r="AI800" s="67"/>
      <c r="AJ800" s="67"/>
      <c r="AK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c r="AF801" s="67"/>
      <c r="AG801" s="67"/>
      <c r="AH801" s="67"/>
      <c r="AI801" s="67"/>
      <c r="AJ801" s="67"/>
      <c r="AK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c r="AH802" s="67"/>
      <c r="AI802" s="67"/>
      <c r="AJ802" s="67"/>
      <c r="AK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c r="AF803" s="67"/>
      <c r="AG803" s="67"/>
      <c r="AH803" s="67"/>
      <c r="AI803" s="67"/>
      <c r="AJ803" s="67"/>
      <c r="AK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c r="AH804" s="67"/>
      <c r="AI804" s="67"/>
      <c r="AJ804" s="67"/>
      <c r="AK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c r="AF805" s="67"/>
      <c r="AG805" s="67"/>
      <c r="AH805" s="67"/>
      <c r="AI805" s="67"/>
      <c r="AJ805" s="67"/>
      <c r="AK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c r="AH806" s="67"/>
      <c r="AI806" s="67"/>
      <c r="AJ806" s="67"/>
      <c r="AK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c r="AF807" s="67"/>
      <c r="AG807" s="67"/>
      <c r="AH807" s="67"/>
      <c r="AI807" s="67"/>
      <c r="AJ807" s="67"/>
      <c r="AK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c r="AH808" s="67"/>
      <c r="AI808" s="67"/>
      <c r="AJ808" s="67"/>
      <c r="AK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c r="AH809" s="67"/>
      <c r="AI809" s="67"/>
      <c r="AJ809" s="67"/>
      <c r="AK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c r="AH810" s="67"/>
      <c r="AI810" s="67"/>
      <c r="AJ810" s="67"/>
      <c r="AK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c r="AH811" s="67"/>
      <c r="AI811" s="67"/>
      <c r="AJ811" s="67"/>
      <c r="AK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c r="AH812" s="67"/>
      <c r="AI812" s="67"/>
      <c r="AJ812" s="67"/>
      <c r="AK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c r="AH813" s="67"/>
      <c r="AI813" s="67"/>
      <c r="AJ813" s="67"/>
      <c r="AK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c r="AF814" s="67"/>
      <c r="AG814" s="67"/>
      <c r="AH814" s="67"/>
      <c r="AI814" s="67"/>
      <c r="AJ814" s="67"/>
      <c r="AK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c r="AH815" s="67"/>
      <c r="AI815" s="67"/>
      <c r="AJ815" s="67"/>
      <c r="AK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c r="AF816" s="67"/>
      <c r="AG816" s="67"/>
      <c r="AH816" s="67"/>
      <c r="AI816" s="67"/>
      <c r="AJ816" s="67"/>
      <c r="AK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c r="AH817" s="67"/>
      <c r="AI817" s="67"/>
      <c r="AJ817" s="67"/>
      <c r="AK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c r="AF818" s="67"/>
      <c r="AG818" s="67"/>
      <c r="AH818" s="67"/>
      <c r="AI818" s="67"/>
      <c r="AJ818" s="67"/>
      <c r="AK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c r="AF819" s="67"/>
      <c r="AG819" s="67"/>
      <c r="AH819" s="67"/>
      <c r="AI819" s="67"/>
      <c r="AJ819" s="67"/>
      <c r="AK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c r="AF820" s="67"/>
      <c r="AG820" s="67"/>
      <c r="AH820" s="67"/>
      <c r="AI820" s="67"/>
      <c r="AJ820" s="67"/>
      <c r="AK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c r="AF821" s="67"/>
      <c r="AG821" s="67"/>
      <c r="AH821" s="67"/>
      <c r="AI821" s="67"/>
      <c r="AJ821" s="67"/>
      <c r="AK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c r="AH822" s="67"/>
      <c r="AI822" s="67"/>
      <c r="AJ822" s="67"/>
      <c r="AK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c r="AF823" s="67"/>
      <c r="AG823" s="67"/>
      <c r="AH823" s="67"/>
      <c r="AI823" s="67"/>
      <c r="AJ823" s="67"/>
      <c r="AK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c r="AH824" s="67"/>
      <c r="AI824" s="67"/>
      <c r="AJ824" s="67"/>
      <c r="AK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c r="AF825" s="67"/>
      <c r="AG825" s="67"/>
      <c r="AH825" s="67"/>
      <c r="AI825" s="67"/>
      <c r="AJ825" s="67"/>
      <c r="AK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c r="AH826" s="67"/>
      <c r="AI826" s="67"/>
      <c r="AJ826" s="67"/>
      <c r="AK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c r="AF827" s="67"/>
      <c r="AG827" s="67"/>
      <c r="AH827" s="67"/>
      <c r="AI827" s="67"/>
      <c r="AJ827" s="67"/>
      <c r="AK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c r="AH828" s="67"/>
      <c r="AI828" s="67"/>
      <c r="AJ828" s="67"/>
      <c r="AK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c r="AF829" s="67"/>
      <c r="AG829" s="67"/>
      <c r="AH829" s="67"/>
      <c r="AI829" s="67"/>
      <c r="AJ829" s="67"/>
      <c r="AK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c r="AH830" s="67"/>
      <c r="AI830" s="67"/>
      <c r="AJ830" s="67"/>
      <c r="AK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c r="AH831" s="67"/>
      <c r="AI831" s="67"/>
      <c r="AJ831" s="67"/>
      <c r="AK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c r="AH832" s="67"/>
      <c r="AI832" s="67"/>
      <c r="AJ832" s="67"/>
      <c r="AK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c r="AH833" s="67"/>
      <c r="AI833" s="67"/>
      <c r="AJ833" s="67"/>
      <c r="AK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c r="AH834" s="67"/>
      <c r="AI834" s="67"/>
      <c r="AJ834" s="67"/>
      <c r="AK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c r="AH835" s="67"/>
      <c r="AI835" s="67"/>
      <c r="AJ835" s="67"/>
      <c r="AK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c r="AH836" s="67"/>
      <c r="AI836" s="67"/>
      <c r="AJ836" s="67"/>
      <c r="AK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c r="AH837" s="67"/>
      <c r="AI837" s="67"/>
      <c r="AJ837" s="67"/>
      <c r="AK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c r="AH838" s="67"/>
      <c r="AI838" s="67"/>
      <c r="AJ838" s="67"/>
      <c r="AK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c r="AH839" s="67"/>
      <c r="AI839" s="67"/>
      <c r="AJ839" s="67"/>
      <c r="AK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c r="AH840" s="67"/>
      <c r="AI840" s="67"/>
      <c r="AJ840" s="67"/>
      <c r="AK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c r="AH841" s="67"/>
      <c r="AI841" s="67"/>
      <c r="AJ841" s="67"/>
      <c r="AK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c r="AH842" s="67"/>
      <c r="AI842" s="67"/>
      <c r="AJ842" s="67"/>
      <c r="AK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c r="AF843" s="67"/>
      <c r="AG843" s="67"/>
      <c r="AH843" s="67"/>
      <c r="AI843" s="67"/>
      <c r="AJ843" s="67"/>
      <c r="AK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c r="AH844" s="67"/>
      <c r="AI844" s="67"/>
      <c r="AJ844" s="67"/>
      <c r="AK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c r="AF845" s="67"/>
      <c r="AG845" s="67"/>
      <c r="AH845" s="67"/>
      <c r="AI845" s="67"/>
      <c r="AJ845" s="67"/>
      <c r="AK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c r="AH846" s="67"/>
      <c r="AI846" s="67"/>
      <c r="AJ846" s="67"/>
      <c r="AK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c r="AH847" s="67"/>
      <c r="AI847" s="67"/>
      <c r="AJ847" s="67"/>
      <c r="AK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c r="AH848" s="67"/>
      <c r="AI848" s="67"/>
      <c r="AJ848" s="67"/>
      <c r="AK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c r="AH849" s="67"/>
      <c r="AI849" s="67"/>
      <c r="AJ849" s="67"/>
      <c r="AK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c r="AH850" s="67"/>
      <c r="AI850" s="67"/>
      <c r="AJ850" s="67"/>
      <c r="AK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c r="AH851" s="67"/>
      <c r="AI851" s="67"/>
      <c r="AJ851" s="67"/>
      <c r="AK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c r="AH852" s="67"/>
      <c r="AI852" s="67"/>
      <c r="AJ852" s="67"/>
      <c r="AK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c r="AH853" s="67"/>
      <c r="AI853" s="67"/>
      <c r="AJ853" s="67"/>
      <c r="AK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c r="AF854" s="67"/>
      <c r="AG854" s="67"/>
      <c r="AH854" s="67"/>
      <c r="AI854" s="67"/>
      <c r="AJ854" s="67"/>
      <c r="AK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c r="AH855" s="67"/>
      <c r="AI855" s="67"/>
      <c r="AJ855" s="67"/>
      <c r="AK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c r="AH856" s="67"/>
      <c r="AI856" s="67"/>
      <c r="AJ856" s="67"/>
      <c r="AK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c r="AH857" s="67"/>
      <c r="AI857" s="67"/>
      <c r="AJ857" s="67"/>
      <c r="AK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c r="AH858" s="67"/>
      <c r="AI858" s="67"/>
      <c r="AJ858" s="67"/>
      <c r="AK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c r="AH859" s="67"/>
      <c r="AI859" s="67"/>
      <c r="AJ859" s="67"/>
      <c r="AK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c r="AH860" s="67"/>
      <c r="AI860" s="67"/>
      <c r="AJ860" s="67"/>
      <c r="AK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c r="AH861" s="67"/>
      <c r="AI861" s="67"/>
      <c r="AJ861" s="67"/>
      <c r="AK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c r="AH862" s="67"/>
      <c r="AI862" s="67"/>
      <c r="AJ862" s="67"/>
      <c r="AK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c r="AF863" s="67"/>
      <c r="AG863" s="67"/>
      <c r="AH863" s="67"/>
      <c r="AI863" s="67"/>
      <c r="AJ863" s="67"/>
      <c r="AK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c r="AI864" s="67"/>
      <c r="AJ864" s="67"/>
      <c r="AK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c r="AF865" s="67"/>
      <c r="AG865" s="67"/>
      <c r="AH865" s="67"/>
      <c r="AI865" s="67"/>
      <c r="AJ865" s="67"/>
      <c r="AK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c r="AI866" s="67"/>
      <c r="AJ866" s="67"/>
      <c r="AK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c r="AH867" s="67"/>
      <c r="AI867" s="67"/>
      <c r="AJ867" s="67"/>
      <c r="AK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c r="AH868" s="67"/>
      <c r="AI868" s="67"/>
      <c r="AJ868" s="67"/>
      <c r="AK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c r="AH869" s="67"/>
      <c r="AI869" s="67"/>
      <c r="AJ869" s="67"/>
      <c r="AK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c r="AH870" s="67"/>
      <c r="AI870" s="67"/>
      <c r="AJ870" s="67"/>
      <c r="AK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c r="AH871" s="67"/>
      <c r="AI871" s="67"/>
      <c r="AJ871" s="67"/>
      <c r="AK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c r="AH872" s="67"/>
      <c r="AI872" s="67"/>
      <c r="AJ872" s="67"/>
      <c r="AK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c r="AH873" s="67"/>
      <c r="AI873" s="67"/>
      <c r="AJ873" s="67"/>
      <c r="AK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c r="AH874" s="67"/>
      <c r="AI874" s="67"/>
      <c r="AJ874" s="67"/>
      <c r="AK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c r="AH875" s="67"/>
      <c r="AI875" s="67"/>
      <c r="AJ875" s="67"/>
      <c r="AK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c r="AH876" s="67"/>
      <c r="AI876" s="67"/>
      <c r="AJ876" s="67"/>
      <c r="AK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c r="AH877" s="67"/>
      <c r="AI877" s="67"/>
      <c r="AJ877" s="67"/>
      <c r="AK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c r="AI878" s="67"/>
      <c r="AJ878" s="67"/>
      <c r="AK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c r="AH879" s="67"/>
      <c r="AI879" s="67"/>
      <c r="AJ879" s="67"/>
      <c r="AK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c r="AF880" s="67"/>
      <c r="AG880" s="67"/>
      <c r="AH880" s="67"/>
      <c r="AI880" s="67"/>
      <c r="AJ880" s="67"/>
      <c r="AK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c r="AH881" s="67"/>
      <c r="AI881" s="67"/>
      <c r="AJ881" s="67"/>
      <c r="AK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c r="AH882" s="67"/>
      <c r="AI882" s="67"/>
      <c r="AJ882" s="67"/>
      <c r="AK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c r="AH883" s="67"/>
      <c r="AI883" s="67"/>
      <c r="AJ883" s="67"/>
      <c r="AK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c r="AH884" s="67"/>
      <c r="AI884" s="67"/>
      <c r="AJ884" s="67"/>
      <c r="AK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c r="AH885" s="67"/>
      <c r="AI885" s="67"/>
      <c r="AJ885" s="67"/>
      <c r="AK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c r="AH886" s="67"/>
      <c r="AI886" s="67"/>
      <c r="AJ886" s="67"/>
      <c r="AK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c r="AH887" s="67"/>
      <c r="AI887" s="67"/>
      <c r="AJ887" s="67"/>
      <c r="AK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c r="AH888" s="67"/>
      <c r="AI888" s="67"/>
      <c r="AJ888" s="67"/>
      <c r="AK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c r="AH889" s="67"/>
      <c r="AI889" s="67"/>
      <c r="AJ889" s="67"/>
      <c r="AK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c r="AI890" s="67"/>
      <c r="AJ890" s="67"/>
      <c r="AK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c r="AF891" s="67"/>
      <c r="AG891" s="67"/>
      <c r="AH891" s="67"/>
      <c r="AI891" s="67"/>
      <c r="AJ891" s="67"/>
      <c r="AK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c r="AH892" s="67"/>
      <c r="AI892" s="67"/>
      <c r="AJ892" s="67"/>
      <c r="AK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c r="AH893" s="67"/>
      <c r="AI893" s="67"/>
      <c r="AJ893" s="67"/>
      <c r="AK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c r="AH894" s="67"/>
      <c r="AI894" s="67"/>
      <c r="AJ894" s="67"/>
      <c r="AK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c r="AH895" s="67"/>
      <c r="AI895" s="67"/>
      <c r="AJ895" s="67"/>
      <c r="AK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c r="AH896" s="67"/>
      <c r="AI896" s="67"/>
      <c r="AJ896" s="67"/>
      <c r="AK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c r="AI897" s="67"/>
      <c r="AJ897" s="67"/>
      <c r="AK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c r="AH898" s="67"/>
      <c r="AI898" s="67"/>
      <c r="AJ898" s="67"/>
      <c r="AK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c r="AI899" s="67"/>
      <c r="AJ899" s="67"/>
      <c r="AK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c r="AH900" s="67"/>
      <c r="AI900" s="67"/>
      <c r="AJ900" s="67"/>
      <c r="AK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c r="AH901" s="67"/>
      <c r="AI901" s="67"/>
      <c r="AJ901" s="67"/>
      <c r="AK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c r="AI902" s="67"/>
      <c r="AJ902" s="67"/>
      <c r="AK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c r="AH903" s="67"/>
      <c r="AI903" s="67"/>
      <c r="AJ903" s="67"/>
      <c r="AK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c r="AH904" s="67"/>
      <c r="AI904" s="67"/>
      <c r="AJ904" s="67"/>
      <c r="AK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c r="AF905" s="67"/>
      <c r="AG905" s="67"/>
      <c r="AH905" s="67"/>
      <c r="AI905" s="67"/>
      <c r="AJ905" s="67"/>
      <c r="AK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c r="AF906" s="67"/>
      <c r="AG906" s="67"/>
      <c r="AH906" s="67"/>
      <c r="AI906" s="67"/>
      <c r="AJ906" s="67"/>
      <c r="AK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c r="AH907" s="67"/>
      <c r="AI907" s="67"/>
      <c r="AJ907" s="67"/>
      <c r="AK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c r="AF908" s="67"/>
      <c r="AG908" s="67"/>
      <c r="AH908" s="67"/>
      <c r="AI908" s="67"/>
      <c r="AJ908" s="67"/>
      <c r="AK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c r="AF909" s="67"/>
      <c r="AG909" s="67"/>
      <c r="AH909" s="67"/>
      <c r="AI909" s="67"/>
      <c r="AJ909" s="67"/>
      <c r="AK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c r="AF910" s="67"/>
      <c r="AG910" s="67"/>
      <c r="AH910" s="67"/>
      <c r="AI910" s="67"/>
      <c r="AJ910" s="67"/>
      <c r="AK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c r="AF911" s="67"/>
      <c r="AG911" s="67"/>
      <c r="AH911" s="67"/>
      <c r="AI911" s="67"/>
      <c r="AJ911" s="67"/>
      <c r="AK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c r="AF912" s="67"/>
      <c r="AG912" s="67"/>
      <c r="AH912" s="67"/>
      <c r="AI912" s="67"/>
      <c r="AJ912" s="67"/>
      <c r="AK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c r="AF913" s="67"/>
      <c r="AG913" s="67"/>
      <c r="AH913" s="67"/>
      <c r="AI913" s="67"/>
      <c r="AJ913" s="67"/>
      <c r="AK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c r="AF914" s="67"/>
      <c r="AG914" s="67"/>
      <c r="AH914" s="67"/>
      <c r="AI914" s="67"/>
      <c r="AJ914" s="67"/>
      <c r="AK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c r="AF915" s="67"/>
      <c r="AG915" s="67"/>
      <c r="AH915" s="67"/>
      <c r="AI915" s="67"/>
      <c r="AJ915" s="67"/>
      <c r="AK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c r="AF916" s="67"/>
      <c r="AG916" s="67"/>
      <c r="AH916" s="67"/>
      <c r="AI916" s="67"/>
      <c r="AJ916" s="67"/>
      <c r="AK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c r="AF917" s="67"/>
      <c r="AG917" s="67"/>
      <c r="AH917" s="67"/>
      <c r="AI917" s="67"/>
      <c r="AJ917" s="67"/>
      <c r="AK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c r="AF918" s="67"/>
      <c r="AG918" s="67"/>
      <c r="AH918" s="67"/>
      <c r="AI918" s="67"/>
      <c r="AJ918" s="67"/>
      <c r="AK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c r="AF919" s="67"/>
      <c r="AG919" s="67"/>
      <c r="AH919" s="67"/>
      <c r="AI919" s="67"/>
      <c r="AJ919" s="67"/>
      <c r="AK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c r="AF920" s="67"/>
      <c r="AG920" s="67"/>
      <c r="AH920" s="67"/>
      <c r="AI920" s="67"/>
      <c r="AJ920" s="67"/>
      <c r="AK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c r="AH921" s="67"/>
      <c r="AI921" s="67"/>
      <c r="AJ921" s="67"/>
      <c r="AK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c r="AF922" s="67"/>
      <c r="AG922" s="67"/>
      <c r="AH922" s="67"/>
      <c r="AI922" s="67"/>
      <c r="AJ922" s="67"/>
      <c r="AK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c r="AF923" s="67"/>
      <c r="AG923" s="67"/>
      <c r="AH923" s="67"/>
      <c r="AI923" s="67"/>
      <c r="AJ923" s="67"/>
      <c r="AK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c r="AF924" s="67"/>
      <c r="AG924" s="67"/>
      <c r="AH924" s="67"/>
      <c r="AI924" s="67"/>
      <c r="AJ924" s="67"/>
      <c r="AK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c r="AF925" s="67"/>
      <c r="AG925" s="67"/>
      <c r="AH925" s="67"/>
      <c r="AI925" s="67"/>
      <c r="AJ925" s="67"/>
      <c r="AK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c r="AF926" s="67"/>
      <c r="AG926" s="67"/>
      <c r="AH926" s="67"/>
      <c r="AI926" s="67"/>
      <c r="AJ926" s="67"/>
      <c r="AK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c r="AF927" s="67"/>
      <c r="AG927" s="67"/>
      <c r="AH927" s="67"/>
      <c r="AI927" s="67"/>
      <c r="AJ927" s="67"/>
      <c r="AK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c r="AF928" s="67"/>
      <c r="AG928" s="67"/>
      <c r="AH928" s="67"/>
      <c r="AI928" s="67"/>
      <c r="AJ928" s="67"/>
      <c r="AK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c r="AF929" s="67"/>
      <c r="AG929" s="67"/>
      <c r="AH929" s="67"/>
      <c r="AI929" s="67"/>
      <c r="AJ929" s="67"/>
      <c r="AK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c r="AF930" s="67"/>
      <c r="AG930" s="67"/>
      <c r="AH930" s="67"/>
      <c r="AI930" s="67"/>
      <c r="AJ930" s="67"/>
      <c r="AK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c r="AF931" s="67"/>
      <c r="AG931" s="67"/>
      <c r="AH931" s="67"/>
      <c r="AI931" s="67"/>
      <c r="AJ931" s="67"/>
      <c r="AK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c r="AF932" s="67"/>
      <c r="AG932" s="67"/>
      <c r="AH932" s="67"/>
      <c r="AI932" s="67"/>
      <c r="AJ932" s="67"/>
      <c r="AK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c r="AH933" s="67"/>
      <c r="AI933" s="67"/>
      <c r="AJ933" s="67"/>
      <c r="AK933" s="67"/>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c r="AD934" s="103"/>
      <c r="AE934" s="103"/>
      <c r="AF934" s="103"/>
      <c r="AG934" s="103"/>
      <c r="AH934" s="103"/>
      <c r="AI934" s="103"/>
      <c r="AJ934" s="103"/>
      <c r="AK934" s="103"/>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c r="AD935" s="103"/>
      <c r="AE935" s="103"/>
      <c r="AF935" s="103"/>
      <c r="AG935" s="103"/>
      <c r="AH935" s="103"/>
      <c r="AI935" s="103"/>
      <c r="AJ935" s="103"/>
      <c r="AK935" s="103"/>
    </row>
  </sheetData>
  <mergeCells count="54">
    <mergeCell ref="D25:G25"/>
    <mergeCell ref="H25:K25"/>
    <mergeCell ref="D26:G26"/>
    <mergeCell ref="H26:K26"/>
    <mergeCell ref="D20:G20"/>
    <mergeCell ref="D21:G21"/>
    <mergeCell ref="H21:K21"/>
    <mergeCell ref="D22:G22"/>
    <mergeCell ref="H22:K22"/>
    <mergeCell ref="D23:G23"/>
    <mergeCell ref="H23:K23"/>
    <mergeCell ref="V5:W5"/>
    <mergeCell ref="V6:W8"/>
    <mergeCell ref="V9:W11"/>
    <mergeCell ref="V12:W14"/>
    <mergeCell ref="A1:C3"/>
    <mergeCell ref="A4:K4"/>
    <mergeCell ref="M4:U4"/>
    <mergeCell ref="M5:O5"/>
    <mergeCell ref="Q5:U5"/>
    <mergeCell ref="M6:O6"/>
    <mergeCell ref="M7:O7"/>
    <mergeCell ref="Q6:U6"/>
    <mergeCell ref="Q7:U7"/>
    <mergeCell ref="M8:O8"/>
    <mergeCell ref="Q8:U8"/>
    <mergeCell ref="M9:O9"/>
    <mergeCell ref="Q9:U9"/>
    <mergeCell ref="Q10:U10"/>
    <mergeCell ref="M10:O10"/>
    <mergeCell ref="M11:O11"/>
    <mergeCell ref="M12:O12"/>
    <mergeCell ref="M13:O13"/>
    <mergeCell ref="M14:O14"/>
    <mergeCell ref="A18:K19"/>
    <mergeCell ref="H20:K20"/>
    <mergeCell ref="P21:R21"/>
    <mergeCell ref="P22:R22"/>
    <mergeCell ref="S22:V22"/>
    <mergeCell ref="P23:R23"/>
    <mergeCell ref="S23:V23"/>
    <mergeCell ref="P25:R25"/>
    <mergeCell ref="S25:V25"/>
    <mergeCell ref="Q11:U11"/>
    <mergeCell ref="Q12:U12"/>
    <mergeCell ref="Q13:U14"/>
    <mergeCell ref="M18:V19"/>
    <mergeCell ref="P20:R20"/>
    <mergeCell ref="S20:V20"/>
    <mergeCell ref="S21:V21"/>
    <mergeCell ref="D24:G24"/>
    <mergeCell ref="H24:K24"/>
    <mergeCell ref="P24:R24"/>
    <mergeCell ref="S24:V24"/>
  </mergeCells>
  <dataValidations>
    <dataValidation type="list" allowBlank="1" showErrorMessage="1" sqref="H6:I14">
      <formula1>"Stories,Posts/Carousels,Reels"</formula1>
    </dataValidation>
    <dataValidation type="list" allowBlank="1" showErrorMessage="1" sqref="O21:O25 C21:C27">
      <formula1>"Carousel,Picture,Reel"</formula1>
    </dataValidation>
    <dataValidation type="list" allowBlank="1" showErrorMessage="1" sqref="P7:P14">
      <formula1>"All Of The Time,Most of The Time,Sometimes,Never"</formula1>
    </dataValidation>
    <dataValidation type="list" allowBlank="1" showErrorMessage="1" sqref="P6">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5.75"/>
  </cols>
  <sheetData>
    <row r="1">
      <c r="A1" s="104"/>
      <c r="B1" s="104"/>
      <c r="C1" s="104"/>
      <c r="D1" s="104"/>
      <c r="E1" s="104"/>
      <c r="F1" s="104"/>
      <c r="G1" s="104"/>
      <c r="H1" s="104"/>
      <c r="I1" s="104"/>
      <c r="J1" s="104"/>
    </row>
    <row r="2">
      <c r="A2" s="105"/>
      <c r="B2" s="106" t="s">
        <v>149</v>
      </c>
      <c r="C2" s="107"/>
      <c r="D2" s="107"/>
      <c r="E2" s="107"/>
      <c r="F2" s="107"/>
      <c r="G2" s="107"/>
      <c r="H2" s="107"/>
      <c r="I2" s="108"/>
      <c r="J2" s="109"/>
    </row>
    <row r="3">
      <c r="A3" s="109"/>
      <c r="B3" s="110"/>
      <c r="C3" s="110"/>
      <c r="D3" s="110"/>
      <c r="E3" s="110"/>
      <c r="F3" s="110"/>
      <c r="G3" s="110"/>
      <c r="H3" s="110"/>
      <c r="I3" s="111"/>
      <c r="J3" s="109"/>
    </row>
    <row r="4">
      <c r="A4" s="105"/>
      <c r="B4" s="112" t="s">
        <v>150</v>
      </c>
      <c r="C4" s="112" t="s">
        <v>151</v>
      </c>
      <c r="D4" s="113" t="s">
        <v>152</v>
      </c>
      <c r="E4" s="113" t="s">
        <v>153</v>
      </c>
      <c r="F4" s="113" t="s">
        <v>154</v>
      </c>
      <c r="G4" s="113" t="s">
        <v>155</v>
      </c>
      <c r="H4" s="114" t="s">
        <v>156</v>
      </c>
      <c r="I4" s="113" t="s">
        <v>157</v>
      </c>
      <c r="J4" s="115"/>
    </row>
    <row r="5">
      <c r="A5" s="109"/>
      <c r="B5" s="116"/>
      <c r="C5" s="117"/>
      <c r="D5" s="118">
        <f>C5*B5</f>
        <v>0</v>
      </c>
      <c r="E5" s="119">
        <f>C5*B5</f>
        <v>0</v>
      </c>
      <c r="F5" s="120">
        <f>C5*B5</f>
        <v>0</v>
      </c>
      <c r="G5" s="121">
        <f>C5*B5</f>
        <v>0</v>
      </c>
      <c r="H5" s="122">
        <f>C5*B5</f>
        <v>0</v>
      </c>
      <c r="I5" s="123">
        <f>C5*B5</f>
        <v>0</v>
      </c>
      <c r="J5" s="124"/>
    </row>
    <row r="6">
      <c r="A6" s="109"/>
      <c r="B6" s="109"/>
      <c r="C6" s="109"/>
      <c r="D6" s="109"/>
      <c r="E6" s="118">
        <f t="shared" ref="E6:I6" si="1">D5*0.8</f>
        <v>0</v>
      </c>
      <c r="F6" s="119">
        <f t="shared" si="1"/>
        <v>0</v>
      </c>
      <c r="G6" s="120">
        <f t="shared" si="1"/>
        <v>0</v>
      </c>
      <c r="H6" s="121">
        <f t="shared" si="1"/>
        <v>0</v>
      </c>
      <c r="I6" s="122">
        <f t="shared" si="1"/>
        <v>0</v>
      </c>
      <c r="J6" s="124"/>
    </row>
    <row r="7">
      <c r="A7" s="109"/>
      <c r="B7" s="109"/>
      <c r="C7" s="109"/>
      <c r="D7" s="109"/>
      <c r="E7" s="109"/>
      <c r="F7" s="118">
        <f t="shared" ref="F7:I7" si="2">E6*0.8</f>
        <v>0</v>
      </c>
      <c r="G7" s="119">
        <f t="shared" si="2"/>
        <v>0</v>
      </c>
      <c r="H7" s="120">
        <f t="shared" si="2"/>
        <v>0</v>
      </c>
      <c r="I7" s="121">
        <f t="shared" si="2"/>
        <v>0</v>
      </c>
      <c r="J7" s="124"/>
    </row>
    <row r="8">
      <c r="A8" s="109"/>
      <c r="B8" s="109"/>
      <c r="C8" s="109"/>
      <c r="D8" s="109"/>
      <c r="E8" s="109"/>
      <c r="F8" s="109"/>
      <c r="G8" s="118">
        <f t="shared" ref="G8:I8" si="3">F7*0.8</f>
        <v>0</v>
      </c>
      <c r="H8" s="119">
        <f t="shared" si="3"/>
        <v>0</v>
      </c>
      <c r="I8" s="120">
        <f t="shared" si="3"/>
        <v>0</v>
      </c>
      <c r="J8" s="124"/>
    </row>
    <row r="9">
      <c r="A9" s="109"/>
      <c r="B9" s="125" t="s">
        <v>158</v>
      </c>
      <c r="C9" s="109"/>
      <c r="D9" s="109"/>
      <c r="E9" s="109"/>
      <c r="F9" s="109"/>
      <c r="G9" s="109"/>
      <c r="H9" s="118">
        <f t="shared" ref="H9:I9" si="4">G8*0.8</f>
        <v>0</v>
      </c>
      <c r="I9" s="119">
        <f t="shared" si="4"/>
        <v>0</v>
      </c>
      <c r="J9" s="124"/>
    </row>
    <row r="10">
      <c r="A10" s="109"/>
      <c r="B10" s="126" t="s">
        <v>159</v>
      </c>
      <c r="C10" s="109"/>
      <c r="D10" s="109"/>
      <c r="E10" s="109"/>
      <c r="F10" s="109"/>
      <c r="G10" s="109"/>
      <c r="H10" s="124"/>
      <c r="I10" s="118">
        <f>H9*0.8</f>
        <v>0</v>
      </c>
      <c r="J10" s="124"/>
    </row>
    <row r="11">
      <c r="A11" s="109"/>
      <c r="B11" s="127" t="s">
        <v>160</v>
      </c>
      <c r="C11" s="109"/>
      <c r="D11" s="109"/>
      <c r="E11" s="109"/>
      <c r="F11" s="109"/>
      <c r="G11" s="109"/>
      <c r="H11" s="124"/>
      <c r="I11" s="109"/>
      <c r="J11" s="109"/>
    </row>
    <row r="12">
      <c r="A12" s="105"/>
      <c r="B12" s="128" t="s">
        <v>161</v>
      </c>
      <c r="C12" s="109"/>
      <c r="D12" s="109"/>
      <c r="E12" s="109"/>
      <c r="F12" s="109"/>
      <c r="G12" s="109"/>
      <c r="H12" s="109"/>
      <c r="I12" s="109"/>
      <c r="J12" s="109"/>
    </row>
    <row r="13">
      <c r="A13" s="105"/>
      <c r="B13" s="129" t="s">
        <v>162</v>
      </c>
      <c r="C13" s="109"/>
      <c r="D13" s="130"/>
      <c r="E13" s="130"/>
      <c r="F13" s="130"/>
      <c r="G13" s="130"/>
      <c r="H13" s="131"/>
      <c r="I13" s="130"/>
      <c r="J13" s="109"/>
    </row>
    <row r="14">
      <c r="A14" s="105"/>
      <c r="B14" s="132" t="s">
        <v>163</v>
      </c>
      <c r="C14" s="105"/>
      <c r="D14" s="114">
        <f t="shared" ref="D14:H14" si="5">SUM(D5:D10)</f>
        <v>0</v>
      </c>
      <c r="E14" s="114">
        <f t="shared" si="5"/>
        <v>0</v>
      </c>
      <c r="F14" s="114">
        <f t="shared" si="5"/>
        <v>0</v>
      </c>
      <c r="G14" s="114">
        <f t="shared" si="5"/>
        <v>0</v>
      </c>
      <c r="H14" s="114">
        <f t="shared" si="5"/>
        <v>0</v>
      </c>
      <c r="I14" s="114">
        <f>I5+I6+I7+I8+I9+I10</f>
        <v>0</v>
      </c>
      <c r="J14" s="133"/>
    </row>
    <row r="15">
      <c r="A15" s="105"/>
      <c r="B15" s="7"/>
      <c r="C15" s="109"/>
      <c r="D15" s="109"/>
      <c r="E15" s="109"/>
      <c r="F15" s="109"/>
      <c r="G15" s="109"/>
      <c r="H15" s="124"/>
      <c r="I15" s="109"/>
      <c r="J15" s="109"/>
    </row>
    <row r="16">
      <c r="A16" s="105"/>
      <c r="B16" s="7"/>
      <c r="C16" s="109"/>
      <c r="D16" s="109"/>
      <c r="E16" s="109"/>
      <c r="F16" s="109"/>
      <c r="G16" s="109"/>
      <c r="H16" s="124"/>
      <c r="I16" s="109"/>
      <c r="J16" s="109"/>
    </row>
    <row r="17">
      <c r="A17" s="105"/>
      <c r="B17" s="106" t="s">
        <v>164</v>
      </c>
      <c r="C17" s="107"/>
      <c r="D17" s="107"/>
      <c r="E17" s="107"/>
      <c r="F17" s="107"/>
      <c r="G17" s="107"/>
      <c r="H17" s="107"/>
      <c r="I17" s="108"/>
      <c r="J17" s="109"/>
    </row>
    <row r="18">
      <c r="A18" s="104"/>
      <c r="B18" s="110"/>
      <c r="C18" s="110"/>
      <c r="D18" s="110"/>
      <c r="E18" s="110"/>
      <c r="F18" s="110"/>
      <c r="G18" s="110"/>
      <c r="H18" s="110"/>
      <c r="I18" s="111"/>
      <c r="J18" s="109"/>
    </row>
    <row r="19">
      <c r="A19" s="104"/>
      <c r="B19" s="112" t="s">
        <v>150</v>
      </c>
      <c r="C19" s="112" t="s">
        <v>151</v>
      </c>
      <c r="D19" s="113" t="s">
        <v>152</v>
      </c>
      <c r="E19" s="113" t="s">
        <v>153</v>
      </c>
      <c r="F19" s="113" t="s">
        <v>154</v>
      </c>
      <c r="G19" s="113" t="s">
        <v>155</v>
      </c>
      <c r="H19" s="114" t="s">
        <v>156</v>
      </c>
      <c r="I19" s="113" t="s">
        <v>157</v>
      </c>
      <c r="J19" s="115"/>
    </row>
    <row r="20">
      <c r="A20" s="104"/>
      <c r="B20" s="116"/>
      <c r="C20" s="117"/>
      <c r="D20" s="118">
        <f>C20*B20</f>
        <v>0</v>
      </c>
      <c r="E20" s="119">
        <f>C20*B20</f>
        <v>0</v>
      </c>
      <c r="F20" s="120">
        <f>C20*B20</f>
        <v>0</v>
      </c>
      <c r="G20" s="121">
        <f>C20*B20</f>
        <v>0</v>
      </c>
      <c r="H20" s="122">
        <f>C20*B20</f>
        <v>0</v>
      </c>
      <c r="I20" s="123">
        <f>C20*B20</f>
        <v>0</v>
      </c>
      <c r="J20" s="124"/>
    </row>
    <row r="21">
      <c r="A21" s="104"/>
      <c r="B21" s="109"/>
      <c r="C21" s="109"/>
      <c r="D21" s="109"/>
      <c r="E21" s="118">
        <f t="shared" ref="E21:G21" si="6">D20*0.95</f>
        <v>0</v>
      </c>
      <c r="F21" s="119">
        <f t="shared" si="6"/>
        <v>0</v>
      </c>
      <c r="G21" s="120">
        <f t="shared" si="6"/>
        <v>0</v>
      </c>
      <c r="H21" s="121">
        <f t="shared" ref="H21:I21" si="7">G20*0.8</f>
        <v>0</v>
      </c>
      <c r="I21" s="122">
        <f t="shared" si="7"/>
        <v>0</v>
      </c>
      <c r="J21" s="124"/>
    </row>
    <row r="22">
      <c r="A22" s="104"/>
      <c r="B22" s="109"/>
      <c r="C22" s="109"/>
      <c r="D22" s="109"/>
      <c r="E22" s="109"/>
      <c r="F22" s="118">
        <f t="shared" ref="F22:I22" si="8">E21*0.8</f>
        <v>0</v>
      </c>
      <c r="G22" s="119">
        <f t="shared" si="8"/>
        <v>0</v>
      </c>
      <c r="H22" s="120">
        <f t="shared" si="8"/>
        <v>0</v>
      </c>
      <c r="I22" s="121">
        <f t="shared" si="8"/>
        <v>0</v>
      </c>
      <c r="J22" s="124"/>
    </row>
    <row r="23">
      <c r="A23" s="104"/>
      <c r="B23" s="109"/>
      <c r="C23" s="109"/>
      <c r="D23" s="109"/>
      <c r="E23" s="109"/>
      <c r="F23" s="109"/>
      <c r="G23" s="118">
        <f t="shared" ref="G23:I23" si="9">F22*0.8</f>
        <v>0</v>
      </c>
      <c r="H23" s="119">
        <f t="shared" si="9"/>
        <v>0</v>
      </c>
      <c r="I23" s="120">
        <f t="shared" si="9"/>
        <v>0</v>
      </c>
      <c r="J23" s="124"/>
    </row>
    <row r="24">
      <c r="A24" s="104"/>
      <c r="B24" s="125" t="s">
        <v>158</v>
      </c>
      <c r="C24" s="109"/>
      <c r="D24" s="109"/>
      <c r="E24" s="109"/>
      <c r="F24" s="109"/>
      <c r="G24" s="109"/>
      <c r="H24" s="118">
        <f t="shared" ref="H24:I24" si="10">G23*0.8</f>
        <v>0</v>
      </c>
      <c r="I24" s="119">
        <f t="shared" si="10"/>
        <v>0</v>
      </c>
      <c r="J24" s="124"/>
    </row>
    <row r="25">
      <c r="A25" s="104"/>
      <c r="B25" s="126" t="s">
        <v>159</v>
      </c>
      <c r="C25" s="109"/>
      <c r="D25" s="109"/>
      <c r="E25" s="109"/>
      <c r="F25" s="109"/>
      <c r="G25" s="109"/>
      <c r="H25" s="124"/>
      <c r="I25" s="118">
        <f>H24*0.8</f>
        <v>0</v>
      </c>
      <c r="J25" s="124"/>
    </row>
    <row r="26">
      <c r="A26" s="104"/>
      <c r="B26" s="127" t="s">
        <v>160</v>
      </c>
      <c r="C26" s="109"/>
      <c r="D26" s="109"/>
      <c r="E26" s="109"/>
      <c r="F26" s="109"/>
      <c r="G26" s="109"/>
      <c r="H26" s="124"/>
      <c r="I26" s="109"/>
      <c r="J26" s="109"/>
    </row>
    <row r="27">
      <c r="A27" s="104"/>
      <c r="B27" s="128" t="s">
        <v>161</v>
      </c>
      <c r="C27" s="109"/>
      <c r="D27" s="109"/>
      <c r="E27" s="109"/>
      <c r="F27" s="109"/>
      <c r="G27" s="109"/>
      <c r="H27" s="109"/>
      <c r="I27" s="109"/>
      <c r="J27" s="109"/>
    </row>
    <row r="28">
      <c r="A28" s="104"/>
      <c r="B28" s="129" t="s">
        <v>162</v>
      </c>
      <c r="C28" s="109"/>
      <c r="D28" s="130"/>
      <c r="E28" s="130"/>
      <c r="F28" s="130"/>
      <c r="G28" s="130"/>
      <c r="H28" s="131"/>
      <c r="I28" s="130"/>
      <c r="J28" s="109"/>
    </row>
    <row r="29">
      <c r="A29" s="104"/>
      <c r="B29" s="132" t="s">
        <v>163</v>
      </c>
      <c r="C29" s="105"/>
      <c r="D29" s="114">
        <f t="shared" ref="D29:I29" si="11">SUM(D20:D25)</f>
        <v>0</v>
      </c>
      <c r="E29" s="114">
        <f t="shared" si="11"/>
        <v>0</v>
      </c>
      <c r="F29" s="114">
        <f t="shared" si="11"/>
        <v>0</v>
      </c>
      <c r="G29" s="114">
        <f t="shared" si="11"/>
        <v>0</v>
      </c>
      <c r="H29" s="114">
        <f t="shared" si="11"/>
        <v>0</v>
      </c>
      <c r="I29" s="114">
        <f t="shared" si="11"/>
        <v>0</v>
      </c>
      <c r="J29" s="133"/>
    </row>
    <row r="30">
      <c r="A30" s="104"/>
      <c r="B30" s="104"/>
      <c r="C30" s="104"/>
      <c r="D30" s="104"/>
      <c r="E30" s="104"/>
      <c r="F30" s="104"/>
      <c r="G30" s="104"/>
      <c r="H30" s="104"/>
      <c r="I30" s="104"/>
      <c r="J30" s="104"/>
    </row>
    <row r="31">
      <c r="A31" s="104"/>
      <c r="B31" s="104"/>
      <c r="C31" s="104"/>
      <c r="D31" s="104"/>
      <c r="E31" s="104"/>
      <c r="F31" s="104"/>
      <c r="G31" s="104"/>
      <c r="H31" s="104"/>
      <c r="I31" s="104"/>
      <c r="J31" s="104"/>
    </row>
  </sheetData>
  <mergeCells count="2">
    <mergeCell ref="B2:I3"/>
    <mergeCell ref="B17:I18"/>
  </mergeCells>
  <drawing r:id="rId1"/>
</worksheet>
</file>